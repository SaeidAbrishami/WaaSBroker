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Saeid\My Students\BSc\Multiple Workflow Survey\"/>
    </mc:Choice>
  </mc:AlternateContent>
  <xr:revisionPtr revIDLastSave="0" documentId="13_ncr:1_{4E5EC400-24B5-49BE-BA8C-1F7579782F8E}" xr6:coauthVersionLast="47" xr6:coauthVersionMax="47" xr10:uidLastSave="{00000000-0000-0000-0000-000000000000}"/>
  <bookViews>
    <workbookView xWindow="-120" yWindow="-120" windowWidth="38640" windowHeight="15720" activeTab="5" xr2:uid="{E89F9413-72FB-4191-9049-ADA332F86B41}"/>
  </bookViews>
  <sheets>
    <sheet name="Venues" sheetId="1" r:id="rId1"/>
    <sheet name="Papers" sheetId="2" r:id="rId2"/>
    <sheet name="Negotiation and Pricing Taxonom" sheetId="3" r:id="rId3"/>
    <sheet name="Task Scheduler Taxonomy" sheetId="4" r:id="rId4"/>
    <sheet name="Resource Provisioner Taxonomy" sheetId="6" r:id="rId5"/>
    <sheet name="Monitoring and Fault Tolerance " sheetId="7"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9" i="7" l="1"/>
  <c r="A80" i="6"/>
  <c r="A81" i="4"/>
  <c r="A80" i="3"/>
  <c r="B78" i="2"/>
  <c r="A77" i="7"/>
  <c r="A76" i="7"/>
  <c r="A78" i="7"/>
  <c r="A79" i="6" l="1"/>
  <c r="A80" i="4"/>
  <c r="A79" i="3"/>
  <c r="B77" i="2"/>
  <c r="A78" i="6"/>
  <c r="A79" i="4"/>
  <c r="A78" i="3"/>
  <c r="B76" i="2"/>
  <c r="A77" i="6"/>
  <c r="A78" i="4"/>
  <c r="A77" i="3"/>
  <c r="B75" i="2"/>
  <c r="A75" i="7"/>
  <c r="A74" i="7"/>
  <c r="A73" i="7"/>
  <c r="A72" i="7"/>
  <c r="A71" i="7"/>
  <c r="A70" i="7"/>
  <c r="A69" i="7"/>
  <c r="A68" i="7"/>
  <c r="A67" i="7"/>
  <c r="A76" i="6"/>
  <c r="A77" i="4"/>
  <c r="A76" i="3"/>
  <c r="B74" i="2"/>
  <c r="A75" i="6"/>
  <c r="A76" i="4"/>
  <c r="A75" i="3"/>
  <c r="B73" i="2"/>
  <c r="A74" i="6"/>
  <c r="A75" i="4"/>
  <c r="A74" i="3"/>
  <c r="B72" i="2"/>
  <c r="A73" i="6"/>
  <c r="A74" i="4"/>
  <c r="A73" i="3"/>
  <c r="B71" i="2"/>
  <c r="A72" i="6"/>
  <c r="A73" i="4"/>
  <c r="A72" i="3"/>
  <c r="B70" i="2"/>
  <c r="A71" i="6"/>
  <c r="A72" i="4"/>
  <c r="A71" i="3"/>
  <c r="B69" i="2"/>
  <c r="A70" i="6"/>
  <c r="A71" i="4"/>
  <c r="A70" i="3"/>
  <c r="B68" i="2"/>
  <c r="A66" i="6"/>
  <c r="A67" i="4"/>
  <c r="A66" i="3"/>
  <c r="B64" i="2"/>
  <c r="A62" i="6"/>
  <c r="A63" i="4"/>
  <c r="A62" i="3"/>
  <c r="B60" i="2"/>
  <c r="G75" i="2" a="1"/>
  <c r="G73" i="2" a="1"/>
  <c r="G69" i="2" a="1"/>
  <c r="G68" i="2" a="1"/>
  <c r="G76" i="2" a="1"/>
  <c r="G74" i="2" a="1"/>
  <c r="G70" i="2" a="1"/>
  <c r="G60" i="2" a="1"/>
  <c r="G72" i="2" a="1"/>
  <c r="G71" i="2" a="1"/>
  <c r="G77" i="2" a="1"/>
  <c r="G64" i="2" a="1"/>
  <c r="G64" i="2" l="1"/>
  <c r="G77" i="2"/>
  <c r="G71" i="2"/>
  <c r="G72" i="2"/>
  <c r="G60" i="2"/>
  <c r="G70" i="2"/>
  <c r="G74" i="2"/>
  <c r="G76" i="2"/>
  <c r="G68" i="2"/>
  <c r="G69" i="2"/>
  <c r="G73" i="2"/>
  <c r="G75" i="2"/>
  <c r="A69" i="6"/>
  <c r="A70" i="4"/>
  <c r="A69" i="3"/>
  <c r="B67" i="2"/>
  <c r="A68" i="6"/>
  <c r="A69" i="4"/>
  <c r="A68" i="3"/>
  <c r="B66" i="2"/>
  <c r="A50" i="6"/>
  <c r="A51" i="4"/>
  <c r="A50" i="3"/>
  <c r="B48" i="2"/>
  <c r="A67" i="6"/>
  <c r="A68" i="4"/>
  <c r="A67" i="3"/>
  <c r="B65" i="2"/>
  <c r="B57" i="2"/>
  <c r="A58" i="7"/>
  <c r="A59" i="6"/>
  <c r="A60" i="4"/>
  <c r="A59" i="3"/>
  <c r="A49" i="6"/>
  <c r="A50" i="4"/>
  <c r="A49" i="3"/>
  <c r="B47" i="2"/>
  <c r="B42" i="2"/>
  <c r="B54" i="2"/>
  <c r="B39" i="2"/>
  <c r="B20" i="2"/>
  <c r="B13" i="2"/>
  <c r="A66" i="7"/>
  <c r="A65" i="7"/>
  <c r="A64" i="7"/>
  <c r="A63" i="7"/>
  <c r="A65" i="6"/>
  <c r="A66" i="4"/>
  <c r="A65" i="3"/>
  <c r="B63" i="2"/>
  <c r="A64" i="6"/>
  <c r="A65" i="4"/>
  <c r="A64" i="3"/>
  <c r="B62" i="2"/>
  <c r="A63" i="6"/>
  <c r="A64" i="4"/>
  <c r="A63" i="3"/>
  <c r="B61" i="2"/>
  <c r="A62" i="7"/>
  <c r="A61" i="7"/>
  <c r="A60" i="7"/>
  <c r="A61" i="6"/>
  <c r="A61" i="3"/>
  <c r="A62" i="4"/>
  <c r="B59" i="2"/>
  <c r="A59" i="7"/>
  <c r="A57" i="7"/>
  <c r="A56" i="7"/>
  <c r="A55" i="7"/>
  <c r="A54" i="7"/>
  <c r="A53" i="7"/>
  <c r="A52" i="7"/>
  <c r="A51" i="7"/>
  <c r="A50" i="7"/>
  <c r="A49" i="7"/>
  <c r="A48" i="7"/>
  <c r="A60" i="6"/>
  <c r="A61" i="4"/>
  <c r="A60" i="3"/>
  <c r="B58" i="2"/>
  <c r="A58" i="6"/>
  <c r="A59" i="4"/>
  <c r="A58" i="3"/>
  <c r="B56" i="2"/>
  <c r="A57" i="6"/>
  <c r="A58" i="4"/>
  <c r="A57" i="3"/>
  <c r="B55" i="2"/>
  <c r="A56" i="6"/>
  <c r="A57" i="4"/>
  <c r="A56" i="3"/>
  <c r="A55" i="6"/>
  <c r="A54" i="6"/>
  <c r="A56" i="4"/>
  <c r="A55" i="4"/>
  <c r="A55" i="3"/>
  <c r="A54" i="3"/>
  <c r="B52" i="2"/>
  <c r="A53" i="6"/>
  <c r="A54" i="4"/>
  <c r="A53" i="3"/>
  <c r="B51" i="2"/>
  <c r="A52" i="6"/>
  <c r="A53" i="4"/>
  <c r="A52" i="3"/>
  <c r="B50" i="2"/>
  <c r="A51" i="6"/>
  <c r="A52" i="4"/>
  <c r="A51" i="3"/>
  <c r="B49" i="2"/>
  <c r="A47" i="7"/>
  <c r="A46" i="7"/>
  <c r="A45" i="7"/>
  <c r="A48" i="6"/>
  <c r="A49" i="4"/>
  <c r="A48" i="3"/>
  <c r="B46" i="2"/>
  <c r="A47" i="6"/>
  <c r="A48" i="4"/>
  <c r="A47" i="3"/>
  <c r="B45" i="2"/>
  <c r="A46" i="6"/>
  <c r="A47" i="4"/>
  <c r="A46" i="3"/>
  <c r="B44" i="2"/>
  <c r="A44" i="7"/>
  <c r="A43" i="7"/>
  <c r="A42" i="7"/>
  <c r="A45" i="6"/>
  <c r="A46" i="4"/>
  <c r="A45" i="3"/>
  <c r="B43" i="2"/>
  <c r="A44" i="6"/>
  <c r="A45" i="4"/>
  <c r="A44" i="3"/>
  <c r="A43" i="6"/>
  <c r="A44" i="4"/>
  <c r="A43" i="3"/>
  <c r="B41" i="2"/>
  <c r="A41" i="7"/>
  <c r="A40" i="7"/>
  <c r="A39" i="7"/>
  <c r="A38" i="7"/>
  <c r="A37" i="7"/>
  <c r="A36" i="7"/>
  <c r="A35" i="7"/>
  <c r="A42" i="6"/>
  <c r="A43" i="4"/>
  <c r="A42" i="3"/>
  <c r="B40" i="2"/>
  <c r="A41" i="6"/>
  <c r="A42" i="4"/>
  <c r="A41" i="3"/>
  <c r="A40" i="6"/>
  <c r="A41" i="4"/>
  <c r="A40" i="3"/>
  <c r="B38" i="2"/>
  <c r="A39" i="6"/>
  <c r="A40" i="4"/>
  <c r="A39" i="3"/>
  <c r="B37" i="2"/>
  <c r="A38" i="6"/>
  <c r="A39" i="4"/>
  <c r="A38" i="3"/>
  <c r="B36" i="2"/>
  <c r="A37" i="6"/>
  <c r="A38" i="4"/>
  <c r="A37" i="3"/>
  <c r="B35" i="2"/>
  <c r="A36" i="6"/>
  <c r="A37" i="4"/>
  <c r="A36" i="3"/>
  <c r="B34" i="2"/>
  <c r="A34" i="7"/>
  <c r="A33" i="7"/>
  <c r="A32" i="7"/>
  <c r="A31" i="7"/>
  <c r="A30" i="7"/>
  <c r="A35" i="6"/>
  <c r="A36" i="4"/>
  <c r="A35" i="3"/>
  <c r="B33" i="2"/>
  <c r="A34" i="6"/>
  <c r="A35" i="4"/>
  <c r="A34" i="3"/>
  <c r="B32" i="2"/>
  <c r="A33" i="6"/>
  <c r="A34" i="4"/>
  <c r="A33" i="3"/>
  <c r="B31" i="2"/>
  <c r="A32" i="6"/>
  <c r="A33" i="4"/>
  <c r="A32" i="3"/>
  <c r="B30" i="2"/>
  <c r="A31" i="6"/>
  <c r="A32" i="4"/>
  <c r="A31" i="3"/>
  <c r="B29" i="2"/>
  <c r="A30" i="6"/>
  <c r="A31" i="4"/>
  <c r="A30" i="3"/>
  <c r="B28" i="2"/>
  <c r="A29" i="7"/>
  <c r="A28" i="7"/>
  <c r="A27" i="7"/>
  <c r="A26" i="7"/>
  <c r="A29" i="6"/>
  <c r="A30" i="4"/>
  <c r="A29" i="3"/>
  <c r="B27" i="2"/>
  <c r="A28" i="6"/>
  <c r="A29" i="4"/>
  <c r="A28" i="3"/>
  <c r="A27" i="3"/>
  <c r="B26" i="2"/>
  <c r="A27" i="6"/>
  <c r="A28" i="4"/>
  <c r="B25" i="2"/>
  <c r="A26" i="3"/>
  <c r="A25" i="3"/>
  <c r="A24" i="3"/>
  <c r="A23" i="3"/>
  <c r="A22" i="3"/>
  <c r="A21" i="3"/>
  <c r="A20" i="3"/>
  <c r="A19" i="3"/>
  <c r="A18" i="3"/>
  <c r="A17" i="3"/>
  <c r="A16" i="3"/>
  <c r="A15" i="3"/>
  <c r="A14" i="3"/>
  <c r="A13" i="3"/>
  <c r="A12" i="3"/>
  <c r="A11" i="3"/>
  <c r="A10" i="3"/>
  <c r="A9" i="3"/>
  <c r="A8" i="3"/>
  <c r="A7" i="3"/>
  <c r="A6" i="3"/>
  <c r="A27" i="4"/>
  <c r="A26" i="4"/>
  <c r="A25" i="4"/>
  <c r="A24" i="4"/>
  <c r="A23" i="4"/>
  <c r="A22" i="4"/>
  <c r="A21" i="4"/>
  <c r="A20" i="4"/>
  <c r="A19" i="4"/>
  <c r="A18" i="4"/>
  <c r="A17" i="4"/>
  <c r="A16" i="4"/>
  <c r="A15" i="4"/>
  <c r="A14" i="4"/>
  <c r="A13" i="4"/>
  <c r="A12" i="4"/>
  <c r="A11" i="4"/>
  <c r="A10" i="4"/>
  <c r="A9" i="4"/>
  <c r="A8" i="4"/>
  <c r="A7" i="4"/>
  <c r="A26" i="6"/>
  <c r="A25" i="6"/>
  <c r="A24" i="6"/>
  <c r="A23" i="6"/>
  <c r="A22" i="6"/>
  <c r="A21" i="6"/>
  <c r="A20" i="6"/>
  <c r="A19" i="6"/>
  <c r="A18" i="6"/>
  <c r="A17" i="6"/>
  <c r="A16" i="6"/>
  <c r="A15" i="6"/>
  <c r="A14" i="6"/>
  <c r="A13" i="6"/>
  <c r="A12" i="6"/>
  <c r="A11" i="6"/>
  <c r="A10" i="6"/>
  <c r="A9" i="6"/>
  <c r="A8" i="6"/>
  <c r="A7" i="6"/>
  <c r="A6" i="6"/>
  <c r="A25" i="7"/>
  <c r="A24" i="7"/>
  <c r="A23" i="7"/>
  <c r="A22" i="7"/>
  <c r="A21" i="7"/>
  <c r="A20" i="7"/>
  <c r="A19" i="7"/>
  <c r="A18" i="7"/>
  <c r="A17" i="7"/>
  <c r="A16" i="7"/>
  <c r="A15" i="7"/>
  <c r="A14" i="7"/>
  <c r="A13" i="7"/>
  <c r="A12" i="7"/>
  <c r="A11" i="7"/>
  <c r="A10" i="7"/>
  <c r="A9" i="7"/>
  <c r="A8" i="7"/>
  <c r="A7" i="7"/>
  <c r="A6" i="7"/>
  <c r="A5" i="7"/>
  <c r="A4" i="7"/>
  <c r="A5" i="3"/>
  <c r="B23" i="2"/>
  <c r="B22" i="2"/>
  <c r="B21" i="2"/>
  <c r="B19" i="2"/>
  <c r="B18" i="2"/>
  <c r="B17" i="2"/>
  <c r="B5" i="2"/>
  <c r="B6" i="2"/>
  <c r="B7" i="2"/>
  <c r="B8" i="2"/>
  <c r="B9" i="2"/>
  <c r="B10" i="2"/>
  <c r="B11" i="2"/>
  <c r="B12" i="2"/>
  <c r="B14" i="2"/>
  <c r="B15" i="2"/>
  <c r="B16" i="2"/>
  <c r="G49" i="2" a="1"/>
  <c r="G31" i="2" a="1"/>
  <c r="G12" i="2" a="1"/>
  <c r="G52" i="2" a="1"/>
  <c r="G22" i="2" a="1"/>
  <c r="G21" i="2" a="1"/>
  <c r="G26" i="2" a="1"/>
  <c r="G48" i="2" a="1"/>
  <c r="G20" i="2" a="1"/>
  <c r="G7" i="2" a="1"/>
  <c r="G13" i="2" a="1"/>
  <c r="G8" i="2" a="1"/>
  <c r="G14" i="2" a="1"/>
  <c r="G15" i="2" a="1"/>
  <c r="G37" i="2" a="1"/>
  <c r="G16" i="2" a="1"/>
  <c r="G11" i="2" a="1"/>
  <c r="G67" i="2" a="1"/>
  <c r="G58" i="2" a="1"/>
  <c r="G59" i="2" a="1"/>
  <c r="G23" i="2" a="1"/>
  <c r="G30" i="2" a="1"/>
  <c r="G27" i="2" a="1"/>
  <c r="G17" i="2" a="1"/>
  <c r="G39" i="2" a="1"/>
  <c r="G55" i="2" a="1"/>
  <c r="G50" i="2" a="1"/>
  <c r="G32" i="2" a="1"/>
  <c r="G28" i="2" a="1"/>
  <c r="G25" i="2" a="1"/>
  <c r="G34" i="2" a="1"/>
  <c r="G63" i="2" a="1"/>
  <c r="G61" i="2" a="1"/>
  <c r="G9" i="2" a="1"/>
  <c r="G65" i="2" a="1"/>
  <c r="G38" i="2" a="1"/>
  <c r="G66" i="2" a="1"/>
  <c r="G56" i="2" a="1"/>
  <c r="G43" i="2" a="1"/>
  <c r="G19" i="2" a="1"/>
  <c r="G33" i="2" a="1"/>
  <c r="G54" i="2" a="1"/>
  <c r="G47" i="2" a="1"/>
  <c r="G46" i="2" a="1"/>
  <c r="G36" i="2" a="1"/>
  <c r="G18" i="2" a="1"/>
  <c r="G42" i="2" a="1"/>
  <c r="G40" i="2" a="1"/>
  <c r="G29" i="2" a="1"/>
  <c r="G5" i="2" a="1"/>
  <c r="G45" i="2" a="1"/>
  <c r="G41" i="2" a="1"/>
  <c r="G10" i="2" a="1"/>
  <c r="G57" i="2" a="1"/>
  <c r="G62" i="2" a="1"/>
  <c r="G51" i="2" a="1"/>
  <c r="G6" i="2" a="1"/>
  <c r="G35" i="2" a="1"/>
  <c r="G44" i="2" a="1"/>
  <c r="G44" i="2" l="1"/>
  <c r="G35" i="2"/>
  <c r="G6" i="2"/>
  <c r="G51" i="2"/>
  <c r="G62" i="2"/>
  <c r="G57" i="2"/>
  <c r="G10" i="2"/>
  <c r="G41" i="2"/>
  <c r="G45" i="2"/>
  <c r="G5" i="2"/>
  <c r="G29" i="2"/>
  <c r="G40" i="2"/>
  <c r="G42" i="2"/>
  <c r="G18" i="2"/>
  <c r="G36" i="2"/>
  <c r="G46" i="2"/>
  <c r="G47" i="2"/>
  <c r="G54" i="2"/>
  <c r="G33" i="2"/>
  <c r="G19" i="2"/>
  <c r="G43" i="2"/>
  <c r="G56" i="2"/>
  <c r="G66" i="2"/>
  <c r="G38" i="2"/>
  <c r="G65" i="2"/>
  <c r="G9" i="2"/>
  <c r="G61" i="2"/>
  <c r="G63" i="2"/>
  <c r="G34" i="2"/>
  <c r="G25" i="2"/>
  <c r="G28" i="2"/>
  <c r="G32" i="2"/>
  <c r="G50" i="2"/>
  <c r="G55" i="2"/>
  <c r="G39" i="2"/>
  <c r="G17" i="2"/>
  <c r="G27" i="2"/>
  <c r="G30" i="2"/>
  <c r="G23" i="2"/>
  <c r="G59" i="2"/>
  <c r="G58" i="2"/>
  <c r="G67" i="2"/>
  <c r="G11" i="2"/>
  <c r="G16" i="2"/>
  <c r="G37" i="2"/>
  <c r="G15" i="2"/>
  <c r="G14" i="2"/>
  <c r="G8" i="2"/>
  <c r="G13" i="2"/>
  <c r="G7" i="2"/>
  <c r="G20" i="2"/>
  <c r="G48" i="2"/>
  <c r="G26" i="2"/>
  <c r="G21" i="2"/>
  <c r="G22" i="2"/>
  <c r="G52" i="2"/>
  <c r="G12" i="2"/>
  <c r="G31" i="2"/>
  <c r="G49" i="2"/>
  <c r="A5" i="6"/>
  <c r="A6" i="4"/>
  <c r="B4" i="2"/>
  <c r="B3" i="2"/>
  <c r="G4" i="2" a="1"/>
  <c r="G3" i="2" a="1"/>
  <c r="G3" i="2" l="1"/>
  <c r="G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<sst xmlns="http://schemas.openxmlformats.org/spreadsheetml/2006/main" count="1665" uniqueCount="354">
  <si>
    <t>Name</t>
  </si>
  <si>
    <t>Publisher</t>
  </si>
  <si>
    <t>IEEE Transactions on Services Computing</t>
  </si>
  <si>
    <t>IEEE</t>
  </si>
  <si>
    <t>VID</t>
  </si>
  <si>
    <t>PID</t>
  </si>
  <si>
    <t>Title</t>
  </si>
  <si>
    <t>Year</t>
  </si>
  <si>
    <t>BibTex</t>
  </si>
  <si>
    <t>A Cost-Efficient Workflow as a Service Broker Using On-demand and Spot Instances</t>
  </si>
  <si>
    <t>Journal of Grid Computing</t>
  </si>
  <si>
    <t>Springer</t>
  </si>
  <si>
    <t>article{1,
  author={Taheri, Hoda and Abrishami, Saeid and Naghibzadeh, Mahmoud},
  journal={IEEE Transactions on Services Computing}, 
  title={A Cloud Broker for Executing Deadline-Constrained Periodic Scientific Workflows}, 
  year={2023},
  volume={16},
  number={5},
  pages={3089-3100},
  keywords={Task analysis;Cloud computing;Costs;Dynamic scheduling;Containers;Heuristic algorithms;Computational modeling;Cloud brokerage;periodic scientific workflows;multiple workflows scheduling;resource reservation;WaaS},
  doi={10.1109/TSC.2023.3284492}}</t>
  </si>
  <si>
    <t>article{2,
  author={Taghavi, Bahareh
and Zolfaghari, Behrooz and Abrishami, Saeid},
  journal={Journal of Grid Computing}, 
  title={A Cost-Efficient Workflow as a Service Broker Using On-demand and Spot Instances}, 
  year={2023},
  volume={21},
  number={40},
  pages={},
 doi={10.1007/s10723-023-09676-9}}</t>
  </si>
  <si>
    <t>Multi-Criteria</t>
  </si>
  <si>
    <t>Constrained</t>
  </si>
  <si>
    <t>Qos Requirements</t>
  </si>
  <si>
    <t>Online</t>
  </si>
  <si>
    <t>Batch</t>
  </si>
  <si>
    <t>Ensemble</t>
  </si>
  <si>
    <t>Periodic</t>
  </si>
  <si>
    <t>Workflow Arrival</t>
  </si>
  <si>
    <t>Static</t>
  </si>
  <si>
    <t>Dynamic</t>
  </si>
  <si>
    <t>Negotiation</t>
  </si>
  <si>
    <t>Pricing</t>
  </si>
  <si>
    <t>Negotiation and Pricing</t>
  </si>
  <si>
    <t>P</t>
  </si>
  <si>
    <t>Algorithm Name</t>
  </si>
  <si>
    <t>Rigid</t>
  </si>
  <si>
    <t>Flexible</t>
  </si>
  <si>
    <t>Single</t>
  </si>
  <si>
    <t>Multiple</t>
  </si>
  <si>
    <t>Fixed</t>
  </si>
  <si>
    <t>Probabilistic</t>
  </si>
  <si>
    <t>Fuzzy</t>
  </si>
  <si>
    <t>Direct</t>
  </si>
  <si>
    <t>Indirect</t>
  </si>
  <si>
    <t>Time</t>
  </si>
  <si>
    <t>Cost</t>
  </si>
  <si>
    <t>Security</t>
  </si>
  <si>
    <t>Privacy</t>
  </si>
  <si>
    <t>Reliability</t>
  </si>
  <si>
    <t>Fairness</t>
  </si>
  <si>
    <t>Energy</t>
  </si>
  <si>
    <t>Utilization</t>
  </si>
  <si>
    <t>One-by-one</t>
  </si>
  <si>
    <t>Combined</t>
  </si>
  <si>
    <t>Immediate</t>
  </si>
  <si>
    <t>Heuristic</t>
  </si>
  <si>
    <t>Meta-heuristic</t>
  </si>
  <si>
    <t>Game Theory</t>
  </si>
  <si>
    <t>Task Type</t>
  </si>
  <si>
    <t>Task Concurrency</t>
  </si>
  <si>
    <t>Task Time Estimation</t>
  </si>
  <si>
    <t>Data Transmission</t>
  </si>
  <si>
    <t>Scheduling Criteria</t>
  </si>
  <si>
    <t>Scheduling Type</t>
  </si>
  <si>
    <t>Scheduling Strategy</t>
  </si>
  <si>
    <t>Task Scheduling</t>
  </si>
  <si>
    <t>Resource Provisioning</t>
  </si>
  <si>
    <t>Resource Type</t>
  </si>
  <si>
    <t>VM</t>
  </si>
  <si>
    <t>Container</t>
  </si>
  <si>
    <t>Function</t>
  </si>
  <si>
    <t>Resource Diversity</t>
  </si>
  <si>
    <t>Heterogeneous</t>
  </si>
  <si>
    <t>Homogeneous</t>
  </si>
  <si>
    <t>Resource Pricing</t>
  </si>
  <si>
    <t>On-demand</t>
  </si>
  <si>
    <t>Spot</t>
  </si>
  <si>
    <t>Reserved</t>
  </si>
  <si>
    <t>Provisioning Timing</t>
  </si>
  <si>
    <t>As-needed</t>
  </si>
  <si>
    <t>Provisining Delay</t>
  </si>
  <si>
    <t>Delay-aware</t>
  </si>
  <si>
    <t>Instantaneous</t>
  </si>
  <si>
    <t>Deployment Model</t>
  </si>
  <si>
    <t>Single-Cloud</t>
  </si>
  <si>
    <t>Multi-Cloud</t>
  </si>
  <si>
    <t>Hybrid Cloud</t>
  </si>
  <si>
    <t>Monitoring and Fault Tolerance</t>
  </si>
  <si>
    <t>Checkpointing</t>
  </si>
  <si>
    <t>Re-execution</t>
  </si>
  <si>
    <t>Replication</t>
  </si>
  <si>
    <t>A Cloud Broker for Executing Deadline-Constrained Periodic Scientific Workflows</t>
  </si>
  <si>
    <t>Multi-Swarm Co-Evolution Based Hybrid Intelligent Optimization for Bi-Objective Multi-Workflow Scheduling in the Cloud</t>
  </si>
  <si>
    <t>IEEE Transactions on Parallel and Distributed Systems</t>
  </si>
  <si>
    <t xml:space="preserve">cloud Broker for executing Deadline-constrained Periodic scientific Workflows (BDPW) </t>
  </si>
  <si>
    <t>Cost Efficient Workflow-as-a-Service Broker (CEWB)</t>
  </si>
  <si>
    <t>Multi-swarm Co-evolution-based Hybrid intelligent Optimization (MCHO)</t>
  </si>
  <si>
    <t>article{3,
  author={Li, Huifang and Wang, Danjing and Zhou, MengChu and Fan, Yushun and Xia, Yuanqing},
  journal={IEEE Transactions on Parallel and Distributed Systems}, 
  title={Multi-Swarm Co-Evolution Based Hybrid Intelligent Optimization for Bi-Objective Multi-Workflow Scheduling in the Cloud}, 
  year={2022},
  volume={33},
  number={9},
  pages={2183-2197},
  keywords={Task analysis;Cloud computing;Costs;Optimization;Heuristic algorithms;Quality of service;Dynamic scheduling;Cloud computing;intelligent optimization;multi-swarm;multiple workflows;Quality of Service (QoS);scheduling},
  doi={10.1109/TPDS.2021.3122428}}</t>
  </si>
  <si>
    <t>Uncertainty-Aware Online Scheduling for Real-Time Workflows in Cloud Service Environment</t>
  </si>
  <si>
    <t>unceRtainty-aware Online Scheduling Algorithm (ROSA)</t>
  </si>
  <si>
    <t>article{4,
  author={Chen, Huangke and Zhu, Xiaomin and Liu, Guipeng and Pedrycz, Witold},
  journal={IEEE Transactions on Services Computing}, 
  title={Uncertainty-Aware Online Scheduling for Real-Time Workflows in Cloud Service Environment}, 
  year={2021},
  volume={14},
  number={4},
  pages={1167-1178},
  keywords={Task analysis;Cloud computing;Data transfer;Uncertainty;Schedules;Computer architecture;Scheduling;Workflow scheduling;uncertain;proactive and reactive strategies;cloud service},
  doi={10.1109/TSC.2018.2866421}}</t>
  </si>
  <si>
    <t>Resource Renting for Periodical Cloud Workflow Applications</t>
  </si>
  <si>
    <t>article{5,
  author={Chen, Long and Li, Xiaoping and Ruiz, Rubén},
  journal={IEEE Transactions on Services Computing}, 
  title={Resource Renting for Periodical Cloud Workflow Applications}, 
  year={2020},
  volume={13},
  number={1},
  pages={130-143},
  keywords={Cloud computing;Processor scheduling;Scheduling;Schedules;Quality of service;Minimization;Partitioning algorithms;Resource allocation;long-term resources renting;periodical multiple workflows;cloud computing},
  doi={10.1109/TSC.2017.2677450}}</t>
  </si>
  <si>
    <t>Precedence Tree-based Heuristic (PTH)</t>
  </si>
  <si>
    <t>Real-Time Multiple-Workflow Scheduling in Cloud Environments</t>
  </si>
  <si>
    <t>Multi-Objective Workflow Scheduling With Deep-Q-Network-Based Multi-Agent Reinforcement Learning</t>
  </si>
  <si>
    <t xml:space="preserve">IEEE Transactions on Network and Service Management </t>
  </si>
  <si>
    <t>article{6,
  author={Ma, Xiaojin and Xu, Huahu and Gao, Honghao and Bian, Minjie},
  journal={IEEE Transactions on Network and Service Management}, 
  title={Real-Time Multiple-Workflow Scheduling in Cloud Environments}, 
  year={2021},
  volume={18},
  number={4},
  pages={4002-4018},
  keywords={Task analysis;Cloud computing;Processor scheduling;Costs;Real-time systems;Dynamic scheduling;Schedules;Cloud computing;multiple workflows;online scheduling;VM optimization},
  doi={10.1109/TNSM.2021.3125395}}</t>
  </si>
  <si>
    <t>IEEE  Access</t>
  </si>
  <si>
    <t>deep-Q-network based Multi Agent Reinforcement Learning (MARL)</t>
  </si>
  <si>
    <t>article{7,
  author={Wang, Yuandou and Liu, Hang and Zheng, Wanbo and Xia, Yunni and Li, Yawen and Chen, Peng and Guo, Kunyin and Xie, Hong},
  journal={IEEE Access}, 
  title={Multi-Objective Workflow Scheduling With Deep-Q-Network-Based Multi-Agent Reinforcement Learning}, 
  year={2019},
  volume={7},
  number={},
  pages={39974-39982},
  keywords={Optimal scheduling;Games;Task analysis;Cloud computing;Reinforcement learning;Markov processes;Scheduling;Multi-objective workflow scheduling;deep-Q-network (DQN);multi-agent reinforcement learning (MARL);infrastructure-as-a-service (IaaS) cloud;quality-of-service (QoS)},
  doi={10.1109/ACCESS.2019.2902846}}</t>
  </si>
  <si>
    <t>Online Multi-Workflow Scheduling under Uncertain Task Execution Time in IaaS Clouds</t>
  </si>
  <si>
    <t>IEEE Transactions on Cloud Computing</t>
  </si>
  <si>
    <t>onliNe multi-wOrkflow Scheduling Framework (NOSF)</t>
  </si>
  <si>
    <t>article{8,
  author={Liu, Jiagang and Ren, Ju and Dai, Wei and Zhang, Deyu and Zhou, Pude and Zhang, Yaoxue and Min, Geyong and Najjari, Noushin},
  journal={IEEE Transactions on Cloud Computing}, 
  title={Online Multi-Workflow Scheduling under Uncertain Task Execution Time in IaaS Clouds}, 
  year={2021},
  volume={9},
  number={3},
  pages={1180-1194},
  keywords={Task analysis;Cloud computing;Scheduling;Processor scheduling;Resource management;Stochastic processes;Pricing;Cloud computing;workflow scheduling;VM rental cost;uncertain task execution time;multiple workflows},
  doi={10.1109/TCC.2019.2906300}}</t>
  </si>
  <si>
    <t>Reliability, Rental-Cost and Energy-Aware Multi-Workflow Scheduling on Multi-Cloud Systems</t>
  </si>
  <si>
    <t>Reliability, rental cost and Energy-aware Multi-workflow Scheduling in the Multi-Cloud (REMSM)</t>
  </si>
  <si>
    <t>article{9,
  author={Taghinezhad-Niar, Ahmad and Taheri, Javid},
  journal={IEEE Transactions on Cloud Computing}, 
  title={Reliability, Rental-Cost and Energy-Aware Multi-Workflow Scheduling on Multi-Cloud Systems}, 
  year={2023},
  volume={11},
  number={3},
  pages={2681-2692},
  keywords={Reliability;Cloud computing;Task analysis;Scheduling;Costs;Energy consumption;Behavioral sciences;Energy;multi-cloud;multi-workflow;reliability;scheduling},
  doi={10.1109/TCC.2022.3223869}}</t>
  </si>
  <si>
    <t>A cost and makespan aware scheduling algorithm for dynamic multi-workflow in cloud environment</t>
  </si>
  <si>
    <t>Multi-workflow scheduling Technology (MT)</t>
  </si>
  <si>
    <t>article{10,
  author={Xia, Yuanqing and Zhan, Yufeng and  Dai, Li and Chen, Yuehong},
  journal={The Journal of Supercomputing}, 
  title={A cost and makespan aware scheduling algorithm for dynamic }, 
  year={2023},
  volume={79},
  number={2},
  pages={1814-1833},
  doi={10.1007/s11227-022-04681-3}}</t>
  </si>
  <si>
    <t>The Journal of Supercomputing</t>
  </si>
  <si>
    <t>Cost-efficient reactive scheduling for real-time workflows in clouds</t>
  </si>
  <si>
    <t>Cost-Efficient Reactive Scheduling Algorithm (CERSA)</t>
  </si>
  <si>
    <t>article{12,
  author={Chen, Huangke and  Zhu, Jianghan and Wu, Guohua and Huo, Lisu},
  journal={The Journal of Supercomputing}, 
  title={Cost-efficient reactive scheduling for real-time workflows in clouds}, 
  year={2018},
  volume={74},
  number={11},
  pages={6291-6309},
 doi={10.1007/s11227-018-2561-9}}</t>
  </si>
  <si>
    <t>A flexible deadline-driven resource provisioning and scheduling algorithm for multiple workflows with VM sharing protocol on WaaS-cloud</t>
  </si>
  <si>
    <t>Flexible Deadline-driven resource Provisioning and scheduling algorithm for Multiple workfows (FDPM)</t>
  </si>
  <si>
    <t>article{13,
  author={Rajasekar, P.  and  Palanichamy, Yogesh},
  journal={The Journal of Supercomputing}, 
  title={A flexible deadline-driven resource provisioning and scheduling algorithm for multiple workflows with VM sharing protocol on WaaS-cloud}, 
  year={2022},
  volume={78},
  number={6},
  pages={8025-8085},
 doi={10.1007/s11227-021-04225-1}}</t>
  </si>
  <si>
    <t>Concurrent workflow budget- and deadline-constrained scheduling in heterogeneous distributed environments</t>
  </si>
  <si>
    <t>Soft Computing</t>
  </si>
  <si>
    <t>Multi-Workflow Heterogeneous Budget- and Deadline-Constrained Scheduling algorithm (MW-HBDCS)</t>
  </si>
  <si>
    <t>article{14,
  author={Zhou, Naqin and Li, FuFang and Xu, Kefu and Qi, Deyu},
  journal={Soft Computing}, 
  title={Concurrent workflow budget- and deadline-constrained scheduling in heterogeneous distributed environments}, 
  year={2018},
  volume={22},
  number={23},
  pages={7705-7718},
 doi={10.1007/s00500-018-3229-3}}</t>
  </si>
  <si>
    <t>Fair multiple-workflow scheduling with different quality-of-service goals</t>
  </si>
  <si>
    <t>article{15,
  author={Rezaeian, Amin and Naghibzadeh, Mahmoud and Epema, Dick H. J.},
  journal={The Journal of Supercomputing}, 
  title={Fair multiple-workflow scheduling with different quality-of-service goals}, 
  year={2019},
  volume={75},
  number={2},
  pages={746-769},
 doi={10.1007/s11227-018-2604-2}}</t>
  </si>
  <si>
    <t>Scheduling Periodical Multi-Stage Jobs With Fuzziness to Elastic Cloud Resources</t>
  </si>
  <si>
    <t>Fuzzy Dynamic Event Scheduling framework (FDES) and Fuzzy Task Scheduling (FTS)</t>
  </si>
  <si>
    <t>article{16,
  author={Zhu, Jie and Li, Xiaoping and Ruiz, Rubén and Li, Wei and Huang, Haiping and Zomaya, Albert Y.},
  journal={IEEE Transactions on Parallel and Distributed Systems}, 
  title={Scheduling Periodical Multi-Stage Jobs With Fuzziness to Elastic Cloud Resources}, 
  year={2020},
  volume={31},
  number={12},
  pages={2819-2833},
  keywords={Task analysis;Dynamic scheduling;Job shop scheduling;Cloud computing;Schedules;Heuristic algorithms;Job scheduling;fuzzy processing times;fuzzy deadlines;cloud computing},
  doi={10.1109/TPDS.2020.3004134}}</t>
  </si>
  <si>
    <t>Scheduling Multi-Workflows Over Heterogeneous Virtual Machines With a Multi-Stage Dynamic Game-Theoretic Approach</t>
  </si>
  <si>
    <t>International Journal of Web Services Research</t>
  </si>
  <si>
    <t>IGI Global</t>
  </si>
  <si>
    <t>Multi-stage Dynamic Game-Theoretic (MDGT)</t>
  </si>
  <si>
    <t>article{17,
  author={Wu, Lei and Yuandou, Wang},
  journal={International Journal of Web Services Research}, 
  title={Scheduling Multi-Workflows Over Heterogeneous Virtual Machines With a Multi-Stage Dynamic Game-Theoretic Approach}, 
  year={2018},
  volume={15},
  number={4},
  pages={82-96},
  doi={10.4018/IJWSR.2018100105}}</t>
  </si>
  <si>
    <t>Future Generation Computer Systems</t>
  </si>
  <si>
    <t>Elsevier</t>
  </si>
  <si>
    <t>Scheduling dynamic workloads in multi-tenant scientific workflow as a service platforms</t>
  </si>
  <si>
    <t>Elastic resource Provisioning and Scheduling algorithm for Multiple workflows (EPSM)</t>
  </si>
  <si>
    <t>article{19,
title = {Scheduling dynamic workloads in multi-tenant scientific workflow as a service platforms},
journal = {Future Generation Computer Systems},
volume = {79},
pages = {739-750},
year = {2018},
issn = {0167-739X},
doi = {https://doi.org/10.1016/j.future.2017.05.009},
url = {https://www.sciencedirect.com/science/article/pii/S0167739X17301681},
author = {Maria A. Rodriguez and Rajkumar Buyya},
keywords = {Cloud computing, Cost minimization, Deadline, Workflow as a service, Resource provisioning, Scheduling},
abstract = {With the advent of cloud computing and the availability of data collected from increasingly powerful scientific instruments, workflows have become a prevailing mean to achieve significant scientific advances at an increased pace. Emerging Workflow as a Service (WaaS) platforms offer scientists a simple, easily accessible, and cost-effective way of deploying their applications in the cloud at anytime and from anywhere. They are multi-tenant frameworks and are designed to manage the execution of a continuous workload of heterogeneous workflows. To achieve this, they leverage the compute, storage, and network resources offered by Infrastructure as a Service (IaaS) providers. Hence, at any given point in time, a WaaS platform should be capable of efficiently scheduling an arbitrarily large number of workflows with different characteristics and quality of service requirements. As a result, we propose a resource provisioning and scheduling strategy designed specifically for WaaS environments. The algorithm is scalable and dynamic to adapt to changes in the environment and workload. It leverages containers to address resource utilization inefficiencies and aims to minimize the overall cost of leasing the infrastructure resources while meeting the deadline constraint of each individual workflow. To the best of our knowledge, this is the first approach that explicitly addresses VM sharing in the context of WaaS by modeling the use of containers in the resource provisioning and scheduling heuristics. Our simulation results demonstrate its responsiveness to environmental uncertainties, its ability to meet deadlines, and its cost-efficiency when compared to a state-of-the-art algorithm.}
}</t>
  </si>
  <si>
    <t>A multi-class workflow ensemble management system using on-demand and spot instances in cloud</t>
  </si>
  <si>
    <t>Multi-class Workflow Ensemble Sched_x0002_uling (MWEM)</t>
  </si>
  <si>
    <t>article{20,
title = {A multi-class workflow ensemble management system using on-demand and spot instances in cloud},
journal = {Future Generation Computer Systems},
volume = {137},
pages = {97-110},
year = {2022},
issn = {0167-739X},
doi = {https://doi.org/10.1016/j.future.2022.07.007},
url = {https://www.sciencedirect.com/science/article/pii/S0167739X22002369},
author = {Behrooz Zolfaghari and Saeid Abrishami},
keywords = {Cloud computing, Resource provisioning, Task scheduling, Spot instances, Workflow ensemble, Scientific Workflows},
abstract = {Nowadays, cloud computing is an attractive and competitive market, and many computational jobs have migrated to cloud resources. Scheduling a workflow is a common issue in cloud computing. In some applications, a group of interrelated workflows with the same structure but different sizes and inputs is considered as a single job called an ensemble. Executing such applications in the cloud is expensive, and designing a cost-efficient approach is still challenging. The current paper proposes a new algorithm for scheduling workflow ensembles that are subject aware to of budget and deadline constraints. To achieve this aim, the present study takes advantage of Amazon spot instances. These instances are offered by bid at a lower price but with lower reliability. In the proposed algorithm, workflow tasks are classified according to deadlines and priorities, and the requested spot instances are classified based on bid prices. More reliable instances with higher bid prices are assigned to more important classes of tasks. Furthermore, an efficient workflow acceptance and instance provisioning procedure are proposed to launch and terminate instances based on the number of ready tasks and their deadlines. The present research’s simulation results show that the proposed system increases the number of completed workflows and reduces the number of partially executed ones.}
}</t>
  </si>
  <si>
    <t>Algorithms for cost- and deadline-constrained provisioning for scientific workflow ensembles in IaaS clouds</t>
  </si>
  <si>
    <t>Static Provisioning Static Scheduling (SPSS)</t>
  </si>
  <si>
    <t>21-b</t>
  </si>
  <si>
    <t>article{21,
title = {Algorithms for cost- and deadline-constrained provisioning for scientific workflow ensembles in IaaS clouds},
journal = {Future Generation Computer Systems},
volume = {48},
pages = {1-18},
year = {2015},
note = {Special Section: Business and Industry Specific Cloud},
issn = {0167-739X},
doi = {https://doi.org/10.1016/j.future.2015.01.004},
url = {https://www.sciencedirect.com/science/article/pii/S0167739X15000059},
author = {Maciej Malawski and Gideon Juve and Ewa Deelman and Jarek Nabrzyski},
keywords = {Scientific workflows, Workflow ensembles, Cloud computing, Resource provisioning},
abstract = {Large-scale applications expressed as scientific workflows are often grouped into ensembles of inter-related workflows. In this paper, we address a new and important problem concerning the efficient management of such ensembles under budget and deadline constraints on Infrastructure as a Service (IaaS) clouds. IaaS clouds are characterized by on-demand resource provisioning capabilities and a pay-per-use model. We discuss, develop, and assess novel algorithms based on static and dynamic strategies for both task scheduling and resource provisioning. We perform the evaluation via simulation using a set of scientific workflow ensembles with a broad range of budget and deadline parameters, taking into account task granularity, uncertainties in task runtime estimations, provisioning delays, and failures. We find that the key factor determining the performance of an algorithm is its ability to decide which workflows in an ensemble to admit or reject for execution. Our results show that an admission procedure based on workflow structure and estimates of task runtimes can significantly improve the quality of solutions.}
}</t>
  </si>
  <si>
    <t xml:space="preserve">Dynamic Provisioning Dynamic Scheduling (DPDS)  and  Workflow Aware DPDS (WA-DPDS)   </t>
  </si>
  <si>
    <t>Scheduling multiple scientific workflows using containers on IaaS cloud</t>
  </si>
  <si>
    <t>Scalable Resource Provisioning and Scheduling algorithm for Multiple workfows (SRPSM)</t>
  </si>
  <si>
    <t>Journal of Ambient Intelligence and Humanized Computing</t>
  </si>
  <si>
    <t>Dynamic multi-workflow scheduling: A deadline and cost-aware approach for commercial clouds</t>
  </si>
  <si>
    <t>Dynamic Workflow Scheduler (DWS)</t>
  </si>
  <si>
    <t>article{23,
title = {Dynamic multi-workflow scheduling: A deadline and cost-aware approach for commercial clouds},
journal = {Future Generation Computer Systems},
volume = {100},
pages = {98-108},
year = {2019},
issn = {0167-739X},
doi = {https://doi.org/10.1016/j.future.2019.04.029},
url = {https://www.sciencedirect.com/science/article/pii/S0167739X18307386},
author = {Vahid Arabnejad and Kris Bubendorfer and Bryan Ng},
abstract = {Cloud computing, specifically its elastic, on demand, and pay per use instances, provide an ideal model for resourcing large scale state-of-the-art scientific analyses. Such scientific work is typically represented as workflows — the most common model for characterizing e-Science experiments and data analysis. Hosting and managing scientific applications on the cloud poses new challenges in terms of workflow scheduling which is key in leveraging its inherent cost and performance benefits. Prior research has studied static scheduling when the number of workflows is known in advance and all are submitted at the same time. However, in practice, a scheduler may have to schedule an unpredictable stream of workflows, for example, recent workflow management systems — such as Parsl, do not construct complete workflows at any stage during their execution, rather they generate partial workflows dynamically during execution — somewhat akin to lazy evaluation. This change in the way in which scientific data and workflows are created and processed represents a disruptive change to the way in which scheduling needs to occur. This paper represents a first and necessary step towards addressing scheduling problems of this nature, in which we present a new algorithm, Dynamic Workload Scheduler (DWS) that handles the dynamics of multiple deadline constrained workflows arriving randomly and scheduling these workflows with reducing cost in mind. Our results show that the DWS algorithm achieves an average 10% higher success rate in terms of fulfilling deadlines for different workloads and reduces the overall cost by an average 23% when compared to the most recent comparable algorithm.}
}</t>
  </si>
  <si>
    <t>QoS-aware online scheduling of multiple workflows under task execution time uncertainty in clouds</t>
  </si>
  <si>
    <t>Cluster Computing</t>
  </si>
  <si>
    <t>Energy and Uncertain task exection time aware workflow Scheduling Framework (EUSF)</t>
  </si>
  <si>
    <t>article{24,
  author={Taghinezhad-Niar, Ahmad and Pashazadeh, Saeid and Taheri, Javid},
  journal={Cluster Computing}, 
  title={QoS-aware online scheduling of multiple workflows under task execution time uncertainty in clouds}, 
  year={2022},
  volume={25},
  number={6},
  pages={3767-3784},
   doi={10.1007/s10586-022-03600-8}}</t>
  </si>
  <si>
    <t>Arabian Journal for Science and Engineering</t>
  </si>
  <si>
    <t>Cloud Computing: A Multi-workflow Scheduling Algorithm with Dynamic Reusability</t>
  </si>
  <si>
    <t>Competent Dynamic Multi-Workflow Scheduling (CDMWS)</t>
  </si>
  <si>
    <t>article{25,
  author={Adhikari, Mainak and Koley, Santanu},
  journal={Arabian Journal for Science and Engineering}, 
  title={Cloud Computing: A Multi-workflow Scheduling Algorithm with Dynamic Reusability}, 
  year={2018},
  volume={43},
  number={2},
  pages={645-660},
   doi={10.1007/s13369-017-2739-0}}</t>
  </si>
  <si>
    <t>TOPSIS inspired Budget and Deadline Aware Multi-Workflow Scheduling for Cloud computing</t>
  </si>
  <si>
    <t>Journal of Systems Architecture</t>
  </si>
  <si>
    <t>TOPSIS inspired Budget and Deadline aware Multi-Workflow Scheduling algorithm (T-BDMWS)</t>
  </si>
  <si>
    <t>article{26,
title = {TOPSIS inspired Budget and Deadline Aware Multi-Workflow Scheduling for Cloud computing},
journal = {Journal of Systems Architecture},
volume = {114},
pages = {101916},
year = {2021},
issn = {1383-7621},
doi = {https://doi.org/10.1016/j.sysarc.2020.101916},
url = {https://www.sciencedirect.com/science/article/pii/S138376212030179X},
author = {Koneti Kalyan Chakravarthi and L. Shyamala},
keywords = {TOPSIS, Quality of service, Budget, Deadline, Scheduling, Multiple workflows},
abstract = {Scheduling is a decision-making mechanism that allows resource sharing among several activities by determining their order of execution on the available resources. In the heterogeneous distributed systems, it is a great challenge to schedule concurrent workflows submitted by different users at different times. Scheduling with deadline and budget constraints are becoming an even more challenging issue for cloud systems due to the cloud dynamics such as on-demand provisioning, elasticity, abundant resource types, and various pricing schemes. A well-managed budget and deadline constraint scheduling is required to optimize the system performance and end-user satisfaction. Hence, improving system performance and optimizing multiple scheduling criteria at the same time is a big challenge. To address these issues, a novel multi-workflow scheduling algorithm based on the Multi-Criteria Decision Making (MCDM) approach, TOPSIS (Technique of Order Preference by Similarity to Ideal Solution) is presented. A weighted sum of run time, cost and data transfer time are used to determine the optimal resource among the available resources in accordance with the task requirements. The performance of the proposed algorithm is compared with the state-of-the-art algorithms such as Budget-Heterogeneous Earliest Finish Time (BHEFT), Budget and Deadline Constraint Heterogeneous Earliest Finish Time (BDHEFT) and Cloud-based Workflow Scheduling Algorithm (CWSA) algorithms based on budget constraint,deadline constraint, and resource utilization. The experimental results demonstrate that the proposed T-BDMWS outperforms current state-of-the-art heuristics with the criteria of achieving the user-specified budget or deadline constraints and resource efficiency.}
}</t>
  </si>
  <si>
    <t>Maximizing the completion rate of concurrent scientific applications under time and budget constraints</t>
  </si>
  <si>
    <t>Journal of Computational Science</t>
  </si>
  <si>
    <t>Multi-Workflow Deadline-Budget Scheduling algorithm (MWDBS)</t>
  </si>
  <si>
    <t>article{27,
title = {Maximizing the completion rate of concurrent scientific applications under time and budget constraints},
journal = {Journal of Computational Science},
volume = {23},
pages = {120-129},
year = {2017},
issn = {1877-7503},
doi = {https://doi.org/10.1016/j.jocs.2016.10.013},
url = {https://www.sciencedirect.com/science/article/pii/S1877750316302447},
author = {Hamid Arabnejad and Jorge G. Barbosa},
keywords = {Concurrent jobs, Workflow applications, Clouds, Grids},
abstract = {In many domains of science, scientific applications are represented by workflows. In this paper, we introduce a resource management strategy to maximize the success rate of concurrent workflow applications constrained by individual deadline and budget values. The Multi-Workflow Deadline-Budget Scheduling (MW-DBS) algorithm can schedule multiple workflows that can arrive in the system at any time, with the aim of satisfying individual job requirements. MW-DBS produces schedules without performing optimizations but guarantees that the deadline and budget defined for each job are not exceeded. Experimental results show that our strategy increases the scheduling success rate of finding valid solutions.}
}</t>
  </si>
  <si>
    <t>Multi-QoS constrained and Profit-aware scheduling approach for concurrent workflows on heterogeneous systems</t>
  </si>
  <si>
    <t>Multi-QoS Profit-Aware Scheduling algorithm (MQ-PAS)</t>
  </si>
  <si>
    <t>article{28,
title = {Multi-QoS constrained and Profit-aware scheduling approach for concurrent workflows on heterogeneous systems},
journal = {Future Generation Computer Systems},
volume = {68},
pages = {211-221},
year = {2017},
issn = {0167-739X},
doi = {https://doi.org/10.1016/j.future.2016.10.003},
url = {https://www.sciencedirect.com/science/article/pii/S0167739X16303740},
author = {Hamid Arabnejad and Jorge G. Barbosa},
keywords = {Quality of service, On-line scheduling, Deadline, Budget},
abstract = {The execution of a workflow application can result in an imbalanced workload among allocated processors, ultimately resulting in a waste of resources and a higher cost to the user. Here, we consider a dynamic resource management system in which processors are reserved not for a job but only to run a task, thus allowing a higher resource usage rate. This paper presents a scheduling algorithm that manages concurrent workflows in a dynamic environment in which jobs are submitted by users at any moment in time, on shared heterogeneous resources, and constrained to a specified budget and deadline for each job. Recent research attempted to propose dynamic strategies for concurrent workflows but only addressed fairness in resource sharing among applications while minimizing the execution time. The Multi-QoS Profit-Aware scheduling algorithm (MQ-PAS) proposed here is able to increase the profit achieved by the provider by considering the budget available for each job to define tasks priorities. We study the scalability of the algorithm with different types of workflows and infrastructures. The experimental results show that our strategy improves provider revenue significantly and obtains comparable successful rates of completed jobs.}
}</t>
  </si>
  <si>
    <t>TOPSIS inspired cost-efficient concurrent workflow scheduling algorithm in cloud</t>
  </si>
  <si>
    <t>Journal of King Saud University - Computer and Information Sciences</t>
  </si>
  <si>
    <t xml:space="preserve">TOPSIS inspired Cost-efficient Concurrent Workflow Scheduling  Algorithm (T-CCWSA) </t>
  </si>
  <si>
    <t>article{29,
title = {TOPSIS inspired cost-efficient concurrent workflow scheduling algorithm in cloud},
journal = {Journal of King Saud University - Computer and Information Sciences},
volume = {34},
number = {6, Part A},
pages = {2359-2369},
year = {2022},
issn = {1319-1578},
doi = {https://doi.org/10.1016/j.jksuci.2020.02.006},
url = {https://www.sciencedirect.com/science/article/pii/S1319157820303207},
author = {K. Kalyan Chakravarthi and L. Shyamala and V. Vaidehi},
keywords = {TOPSIS, Quality of Service, Deadline, Scheduling, Concurrent Workflows},
abstract = {Scheduling is a decision-making mechanism that enables the sharing of resources among several activities by determining their execution order on the set of available resources. In distributed systems, it is a great challenge to schedule multiple workflows submitted at different times. In particular, concurrent workflow scheduling with time constraints makes the problem more complex in the cloud due to the dynamics of the cloud such as elasticity, non-homogeneous resource types, various pricing schemes, and virtualization. A well-managed deadline workflow scheduling is required to improve end-user satisfaction and system performance. In the meantime, the intrinsic uncertainty in the cloud increases the difficulties of scheduling problems. Therefore, it is a great challenge to improve system performance and optimize several scheduling criteria simultaneously. To address the above issues, a novel concurrent workflow scheduling method for heterogeneous distributed environments based on the new Multi-Criteria Decision Making (MCDM) method i.e., TOPSIS (Technique of Order Preference by Similarity to Ideal Solution) is presented. A weighted sum of execution time, cost and communication time are used to find out the optimal resource among the existing resources as per the workflow task requirements. The proposed method minimizes the makespan and execution cost of the workflow and improves the resource efficiency under uncertain environment. The performance of the proposed work is compared with the state-of-the-art algorithms such as Cloud-based Workflow Scheduling Algorithm (CWSA), Earliest Finish Time-Maximum Effective Reduction (EFT-MER) and Heterogeneous Earliest-Finish-Time (HEFT) algorithms based on deadline constraint and resource utilization. Our experimental results demonstrate that the proposed T-CCWSA outperforms current state-of-the-art heuristics with the criteria of achieving the deadline constraint, minimizing the cost of execution and resource efficiency.}
}</t>
  </si>
  <si>
    <t>Uncertainty-aware scheduling of real-time workflows under deadline constraints on multi-cloud systems</t>
  </si>
  <si>
    <t>Concurrency and Computation: Practice and Experience</t>
  </si>
  <si>
    <t>Wiley</t>
  </si>
  <si>
    <t>Real-time Workflows Scheduling on Multi-Cloud (RWSMC)</t>
  </si>
  <si>
    <t xml:space="preserve">article{30,
author = {Xu, Jin and Yu, Huiqun and Fan, Guisheng and Zhang, Jiayin},
title = {Uncertainty-aware scheduling of real-time workflows under deadline constraints on multi-cloud systems},
journal = {Concurrency and Computation: Practice and Experience},
volume = {35},
number = {5},
pages = {e7562},
keywords = {cloud computing, real-time workflows, multi-cloud systems, uncertain task execution time},
doi = {https://doi.org/10.1002/cpe.7562},
url = {https://onlinelibrary.wiley.com/doi/abs/10.1002/cpe.7562},
eprint = {https://onlinelibrary.wiley.com/doi/pdf/10.1002/cpe.7562},
abstract = {Summary The elasticity and pay-as-you-go features of cloud computing are popular with customers, and more and more workflow applications are migrating to cloud platforms. Many workflow scheduling algorithms aim to obtain minimal rental costs. However, most of the existing research assumes that task execution time is deterministic. In fact, due to the performance fluctuations of VMs, the task execution time is uncertain before scheduling. Furthermore, many works ignore the cost savings given by multi-cloud systems. To this end, this paper provides a scheduling framework for real-time workflows. The framework includes four main components: the workflow analyzer, task pool, task allocation controller, and resource manager. Then based on the framework, we propose the RWSMC heuristic algorithm. The algorithm's goal is to minimize the total rental cost while satisfying the deadline constraints and ensuring the reliability of task execution. The RWSMC algorithm reduces the cost by selecting the appropriate billing mechanism based on the task's execution time and mitigates the impact of uncertain execution time by scheduling the task to the VM with the shortest predicted start time. Simulation experiments demonstrate that our proposed algorithm outperforms three recent state-of-the-art scheduling algorithms in the total rental cost, deadline violation rate, and VM resource utilization.},
year = {2023}
}
</t>
  </si>
  <si>
    <t>Versatile provisioning and workflow scheduling in WaaS under cost and deadline constraints for cloud computing</t>
  </si>
  <si>
    <t>Transactions on Emerging Telecommunications Technologies</t>
  </si>
  <si>
    <t xml:space="preserve">article{31,
author = {Partheeban, Pon. and Kavitha, V.},
title = {Versatile provisioning and workflow scheduling in WaaS under cost and deadline constraints for cloud computing},
journal = {Transactions on Emerging Telecommunications Technologies},
volume = {30},
number = {1},
pages = {e3527},
doi = {https://doi.org/10.1002/ett.3527},
url = {https://onlinelibrary.wiley.com/doi/abs/10.1002/ett.3527},
eprint = {https://onlinelibrary.wiley.com/doi/pdf/10.1002/ett.3527},
note = {e3527 ETT-18-0242.R1},
abstract = {Abstract Cloud computing environment delivers resources and services via a pay-as-you-go billing model, and scheduling workflows have become a major application for distributed systems. An efficient scheduling is very challenging in a cloud to achieve minimum overhead, low cost, and high utilization of resources within the deadline. Workflow as a service (WaaS) provides a simple cost successive way to use the workflow applications in the cloud. This paper introduces a Gang of Tasks (GoTs)–based dynamic scheduling technique for scheduling the workflow to reduce the cost of renting virtual machines (VMs) under the deadline constraints in the WaaS environment. First, the GoTs strategy groups the workflows based on the priority and dependency of data. It schedules similar tasks into the same gang to execute the task from the gang simultaneously to the VMs. After scheduling the task in the GoTs, the deadline is distributed among all the gangs in the workflow. Then, the versatile resources are provisioned, dynamically depending upon the usage of containers in the VMs. The simulation results validate the ability to satisfy the deadline constraints and cost deficiencies of the proposed method as compared to the state-of-the-art methods.},
year = {2019}
}
</t>
  </si>
  <si>
    <t>Multi-criteria scheduling of scientific workflows in the Workflow as a Service platform</t>
  </si>
  <si>
    <t>Computers and Electrical Engineering</t>
  </si>
  <si>
    <t>Multi-Criteria Scientific Workflows (MCSW)</t>
  </si>
  <si>
    <t>article{32,
title = {Multi-criteria scheduling of scientific workflows in the Workflow as a Service platform},
journal = {Computers and Electrical Engineering},
volume = {105},
pages = {108458},
year = {2023},
issn = {0045-7906},
doi = {https://doi.org/10.1016/j.compeleceng.2022.108458},
url = {https://www.sciencedirect.com/science/article/pii/S0045790622006735},
author = {Anurina Tarafdar and Kamalesh Karmakar and Rajib K Das and Sunirmal Khatua},
keywords = {Workflow, Container, Energy, Workflow as a service (WaaS), Cloud computing, Resource scheduling},
abstract = {The increasing use of workflows in various fields of science has led to the development of the Workflow as a Service (WaaS) platform, which provides workflow execution as a service to the users. The WaaS platform must use appropriate resource provisioning, sharing, and scheduling, to properly allocate the workflow tasks to the Cloud resources and fulfill the scheduling objectives. In this paper, we have proposed a novel workflow scheduling approach for the WaaS platform that reduces the average makespan of the workflows, improves energy efficiency, and reduces the resource renting cost of the Cloud resources. Our scheduling model consists of containers, virtual machines (VMs), and hosts. We have also proposed a suitable scaling policy for the Cloud resources to improve resource utilization. Extensive simulations with real-world workflows and comparison with some state-of-the-art algorithms show the efficacy of our approach in improving performance and energy efficiency while reducing the monetary cost.}
}</t>
  </si>
  <si>
    <t>Weighted double deep Q-network based reinforcement learning for bi-objective multi-workflow scheduling in the cloud</t>
  </si>
  <si>
    <t>Weighted Double Deep Q-Network based Reinforcement Learning algorithm (WDDQN-RL)</t>
  </si>
  <si>
    <t>article{33,
  author={Li, Huifang and Huang, Jianghang and Wang, Binyang and Fan, Yushun},
  journal={Cluster Computing}, 
  title={Weighted double deep Q-network based reinforcement learning for bi-objective multi-workflow scheduling in the cloud}, 
  year={2022},
  volume={25},
  number={2},
  pages={751-768},
   doi={10.1007/s10586-021-03454-6}}</t>
  </si>
  <si>
    <t>Security prioritized multiple workflow allocation model under precedence constraints in cloud computing environment</t>
  </si>
  <si>
    <t>Security Prioritized Multiple Workflow Allocation (SPMWA)</t>
  </si>
  <si>
    <t>article{34,
  author={Alam, Mahfooz and Shahid, Mohammad and Mustajab, Suhel},
  journal={Cluster Computing}, 
  title={Security prioritized multiple workflow allocation model under precedence constraints in cloud computing environment}, 
  year={2024},
  volume={27},
  number={1},
  pages={341-376},
   doi={10.1007/s10586-022-03819-5}}</t>
  </si>
  <si>
    <t>Trust-driven and QoS demand clustering analysis based cloud workflow scheduling strategies</t>
  </si>
  <si>
    <t>article{35,
  author={Li, Wenjuan and Wu, Jiyi and Zhang, Qifei and Hu, Keyong and Li, Jing},
  journal={Cluster Computing}, 
  title={Trust-driven and QoS demand clustering analysis based cloud workflow scheduling strategies}, 
  year={2014},
  volume={17},
  number={3},
  pages={1013-1030},
   doi={10.1007/s10586-013-0340-1}}</t>
  </si>
  <si>
    <t>WaaS: Workflow-as-a-Service for the Cloud with Scheduling of Continuous and Data-Intensive Workflows</t>
  </si>
  <si>
    <t>The Computer Journal</t>
  </si>
  <si>
    <t>Oxford Academic</t>
  </si>
  <si>
    <t>Dynamic Scheduling Stochastic Multiworkflows With Deadline Constraints in Clouds</t>
  </si>
  <si>
    <t>IEEE Transactions on Automation Science and Engineering</t>
  </si>
  <si>
    <t>Stochastic Multi-Workflows Dynamic Scheduling Algorithm (SMWDSA)</t>
  </si>
  <si>
    <t>article{38,
  author={Ye, Lingjuan and Xia, Yuanqing and Yang, Liwen and Zhan, Yufeng},
  journal={IEEE Transactions on Automation Science and Engineering}, 
  title={Dynamic Scheduling Stochastic Multiworkflows With Deadline Constraints in Clouds}, 
  year={2023},
  volume={20},
  number={4},
  pages={2594-2606},
  keywords={Task analysis;Cloud computing;Costs;Dynamic scheduling;Job shop scheduling;Heuristic algorithms;Schedules;Dynamic scheduling;multi-workflows;deadline constraints;cloud computing},
  doi={10.1109/TASE.2022.3204313}}</t>
  </si>
  <si>
    <t>article{39,
  author={Fan, Guisheng and Chen, Xingpeng and Li, Zengpeng and Yu, Huiqun and Zhang, Yingxue},
  journal={IEEE Transactions on Network and Service Management}, 
  title={An Energy-Efficient Dynamic Scheduling Method of Deadline-Constrained Workflows in a Cloud Environment}, 
  year={2023},
  volume={20},
  number={3},
  pages={3089-3103},
  keywords={Task analysis;Energy consumption;Cloud computing;Costs;Resource management;Virtual machining;Dynamic scheduling;Task scheduling;deadline;energy consumption;resource utilization;cloud},
  doi={10.1109/TNSM.2022.3228402}}</t>
  </si>
  <si>
    <t>Levelized Multiple Workflow Allocation Strategy Under Precedence Constraints With Task Merging in IaaS Cloud Environment</t>
  </si>
  <si>
    <t>article{40,
  author={Ahmad, Faisal and Shahid, Mohammad and Alam, Mahfooz and Ashraf, Zubair and Sajid, Mohammad and Kotecha, Ketan and Dhiman, Gaurav},
  journal={IEEE Access}, 
  title={Levelized Multiple Workflow Allocation Strategy Under Precedence Constraints With Task Merging in IaaS Cloud Environment}, 
  year={2022},
  volume={10},
  number={},
  pages={92809-92827},
  keywords={Task analysis;Resource management;Cloud computing;Quality of service;Dynamic scheduling;Costs;Cloud computing;IaaS cloud environment;multiple workflow allocation;task merging;levelized DAG scheduling;turnaround time},
  doi={10.1109/ACCESS.2022.3202651}}</t>
  </si>
  <si>
    <t>DDBWS: a dynamic deadline and budget-aware workflow scheduling algorithm in workflow-as-a-service environments</t>
  </si>
  <si>
    <t>Dynamic, Deadline and Budget-aware, Workfow Scheduling (DDBWS)</t>
  </si>
  <si>
    <t>Levelized Multiple Workflow allocation Strategy with Task Merging (LMWS-TM)</t>
  </si>
  <si>
    <t>Real-time workflows oriented online scheduling in uncertain cloud environment</t>
  </si>
  <si>
    <t>Event-Driven and Periodic Rolling Strategies (EDPRS)</t>
  </si>
  <si>
    <t>article{41,
  author={Saeedizade, Ehsan and  Ashtiani, Mehrdad},
  journal={The Journal of Supercomputing}, 
  title={DDBWS: a dynamic deadline and budget-aware workflow scheduling algorithm in workflow-as-a-service environments}, 
  year={2021},
  volume={77},
  number={12},
  pages={14525-14564},
 doi={10.1007/s11227-021-03858-6}}</t>
  </si>
  <si>
    <t>article{42,
  author={Chen, Huangke and Zhu, Jianghan and Zhang, Zhenshi and Ma, Manhao and Shen, Xin},
  journal={The Journal of Supercomputing}, 
  title={Real-time workflows oriented online scheduling in uncertain cloud environment}, 
  year={2017},
  volume={73},
  number={11},
  pages={4906-4922},
 doi={10.1007/s11227-017-2060-4}}</t>
  </si>
  <si>
    <t>Constructing Reliable Computing Environments on Top of Amazon EC2 Spot Instances </t>
  </si>
  <si>
    <t>Algorithms</t>
  </si>
  <si>
    <t>MDPI</t>
  </si>
  <si>
    <t>MISER</t>
  </si>
  <si>
    <t xml:space="preserve">article{43,
AUTHOR = {Sampaio, Altino M. and Barbosa, Jorge G.},
TITLE = {Constructing Reliable Computing Environments on Top of Amazon EC2 Spot Instances},
JOURNAL = {Algorithms},
VOLUME = {13},
YEAR = {2020},
NUMBER = {8},
ARTICLE-NUMBER = {187},
URL = {https://www.mdpi.com/1999-4893/13/8/187},
ISSN = {1999-4893},
ABSTRACT = {Cloud provider Amazon Elastic Compute Cloud (EC2) gives access to resources in the form of virtual servers, also known as instances. EC2 spot instances (SIs) offer spare computational capacity at steep discounts compared to reliable and fixed price on-demand instances. The drawback, however, is that the delay in acquiring spots can be incredible high. Moreover, SIs may not always be available as they can be reclaimed by EC2 at any given time, with a two-minute interruption notice. In this paper, we propose a multi-workflow scheduling algorithm, allied with a container migration-based mechanism, to dynamically construct and readjust virtual clusters on top of non-reserved EC2 pricing model instances. Our solution leverages recent findings on performance and behavior characteristics of EC2 spots. We conducted simulations by submitting real-life workflow applications, constrained by user-defined deadline and budget quality of service (QoS) parameters. The results indicate that our solution improves the rate of completed tasks by almost 20%, and the rate of completed workflows by at least 30%, compared with other state-of-the-art algorithms, for a worse-case scenario.},
DOI = {10.3390/a13080187}
}
</t>
  </si>
  <si>
    <t>Workflow as a Service in the Cloud: Architecture and Scheduling Algorithms</t>
  </si>
  <si>
    <t>Chaotic-Nondominated-Sorting Owl Search Algorithm for Energy-Aware Multi-Workflow Scheduling in Hybrid Clouds</t>
  </si>
  <si>
    <t>IEEE Transactions on Sustainable Computing</t>
  </si>
  <si>
    <t>Chaotic-nondominated-sorting Owl Search Algorithm (COSA)</t>
  </si>
  <si>
    <t>article{46,
  author={Li, Huifang and Xu, Guanghao and Wang, Danjing and Zhou, MengChu and Yuan, Yan and Alabdulwahab, Ahmed},
  journal={IEEE Transactions on Sustainable Computing}, 
  title={Chaotic-Nondominated-Sorting Owl Search Algorithm for Energy-Aware Multi-Workflow Scheduling in Hybrid Clouds}, 
  year={2022},
  volume={7},
  number={3},
  pages={595-608},
  keywords={Cloud computing;Scheduling;Processor scheduling;Costs;Task analysis;Quality of service;Particle swarm optimization;Multi-workflow scheduling;Hybrid clouds;Energy consumption;Owl search algorithm;Chaotic operator},
  doi={10.1109/TSUSC.2022.3144357}}</t>
  </si>
  <si>
    <t>Co-evolutionary and Elite learning-based bi-objective Poor and Rich Optimization algorithm for scheduling multiple workflows in the cloud</t>
  </si>
  <si>
    <t>Co-evolutionary and Elite learning-based bi-objective Poor and Rich  Optimization algorithm (CE-PRO)</t>
  </si>
  <si>
    <t>article{47,
title = {Co-evolutionary and Elite learning-based bi-objective Poor and Rich Optimization algorithm for scheduling multiple workflows in the cloud},
journal = {Future Generation Computer Systems},
volume = {152},
pages = {99-111},
year = {2024},
issn = {0167-739X},
doi = {https://doi.org/10.1016/j.future.2023.10.015},
url = {https://www.sciencedirect.com/science/article/pii/S0167739X23003898},
author = {Huifang Li and Luzhi Tian and Guanghao Xu and Julio Ruben {Cañizares Abreu} and Shuangxi Huang and Senchun Chai and Yuanqing Xia},
keywords = {Cloud computing, Meta-heuristics, Multi-objective optimization, Workflows, Scheduling, Poor and rich optimization algorithm},
abstract = {Cloud computing is a cost-effective environment for deploying large-scale scientific applications. However, multi-workflow scheduling has great challenge since users may request a series of applications with different Quality of Service (QoS) at the same time. In this paper, a Co-evolutionary and Elite learning-based bi-objective Poor and Rich Optimization algorithm (CE-PRO) is proposed for scheduling applications to minimize the makespan and cost of each workflow. First, an MPMO framework is combined with PRO to optimize two objectives by two populations, respectively for better balancing the search diversity and convergence speed, where each population is updated by an improved PRO, which adopts the middle-class sub-population and re-defines the update mechanism for rich individuals to enhance search diversity and reduce the possibility of falling into local optima. Second, to restrain each population focusing overly on its respective objective, a global information exchange pool is innovatively designed to save the non-dominated solutions ever found, which will be used back as the shared guiding solutions to foster inter-population communication and co-evolution during an evolutionary process. Third, a hybrid mutation-based Elite Enhancement Strategy (EES) is developed by introducing multiple scales of mutation operations into elite solutions alternatively and iteratively to exploit excellent individuals and explore more trade-off solutions. Extensive experiments are conducted on real world scientific workflows with different types and scales, and the experimental results demonstrate that in most cases, our proposed CE-PRO outperforms its peers in the number of obtained non-dominated solutions, and the solution diversity and quality as well. In particular, the dominance of CE-PRO is superior to its peers by at least 25.62%.}
}</t>
  </si>
  <si>
    <t>Dual-mutation mechanism-driven snake optimizer for scheduling multiple budget constrained workflows in the cloud</t>
  </si>
  <si>
    <t>Applied Soft Computing</t>
  </si>
  <si>
    <t>Dual-mutation Mechanism-driven Snake Optimizer (DM-SO)</t>
  </si>
  <si>
    <t>article{48,
title = {Dual-mutation mechanism-driven snake optimizer for scheduling multiple budget constrained workflows in the cloud},
journal = {Applied Soft Computing},
volume = {149},
pages = {110966},
year = {2023},
issn = {1568-4946},
doi = {https://doi.org/10.1016/j.asoc.2023.110966},
url = {https://www.sciencedirect.com/science/article/pii/S1568494623009845},
author = {Huifang Li and Guanghao Xu and Boyuan Chen and Shuangxi Huang and Yuanqing Xia and Senchun Chai},
keywords = {Snake optimizer, Workflows, Scheduling, Cloud computing},
abstract = {Scheduling workflows in cloud computing is to find the most appropriate mapping from a series of dependent tasks to a set of available virtual resources so as to minimize or maximize some user concerned objectives, which is very significant to a sustainable and high-efficient cloud data center. However, it still faces challenges since its NP-hardness and the diversified requirements of both the cloud service consumers and cloud service providers need to be satisfied at the same time, especially in addressing multiple applications requested simultaneously. This work proposes a dual-mutation mechanism-driven snake optimizer for scheduling multiple workflows in the cloud for minimizing the makespan of each workflow under user pre-defined budget constraints. Firstly, a continuous optimization algorithm, namely Snake Optimizer (SO) is adopted into discrete optimization, i.e., workflow scheduling. Secondly, a task execution order aware fitness function is designed to reduce the gaps or waiting time between parent and child tasks within a workflow and thus reduce the total execution time of the workflow. Besides, we analyze the existing snake optimizer and adjust the parameters corresponding to different evolutionary stages to adapt to our considered problem. Finally, a dual-mutation mechanism is developed by introducing a non-improvement iteration number for each snake and applying a standard bit mutation operation to prematurely converging snakes and the individuals randomly selected from the remaining snakes so that the population diversity can be enhanced and more potential solutions can be explored. Experimental results on a set of real-world scientific workflows show that our proposed algorithm is of great superiority in constraint satisfiability, meaning that compared with its peers, it is always the first to find feasible solutions.}
}</t>
  </si>
  <si>
    <t>Efficient, economical and energy-saving multi-workflow scheduling in hybrid cloud</t>
  </si>
  <si>
    <t>Expert Systems with Applications</t>
  </si>
  <si>
    <t>Multi-objective Salp swarm Iterative greedy Algorithm (MSIA)</t>
  </si>
  <si>
    <t>article{49,
title = {Efficient, economical and energy-saving multi-workflow scheduling in hybrid cloud},
journal = {Expert Systems with Applications},
volume = {228},
pages = {120401},
year = {2023},
issn = {0957-4174},
doi = {https://doi.org/10.1016/j.eswa.2023.120401},
url = {https://www.sciencedirect.com/science/article/pii/S095741742300903X},
author = {Zaixing Sun and Hejiao Huang and Zhikai Li and Chonglin Gu and Ruitao Xie and Bin Qian},
keywords = {Hybrid cloud, Multi-workflow scheduling, Directed acyclic graph, Heuristic algorithm, Multi-objective optimization, Pareto front},
abstract = {Benefiting from the flexible, scalable and secure environment, hybrid cloud can overcome the shortage of limited resources in private cloud to simultaneously execute large-scale scientific workflows. In hybrid cloud, privacy-sensitive tasks are not allowed to be executed on public resources, while non-sensitive tasks are unrestricted. As an NP-Complete problem, it is extraordinarily challenging to schedule multiple workflows efficiently, economically and energy-savingly under quality-of-service constraints. This paper models the hybrid-cloud-based privacy-aware multi-workflow scheduling as a tri-objective optimization problem that optimizes workflow-oriented total tardiness, private-cloud-oriented total energy consumption, and public-cloud-oriented total monetary cost. To the best of authors’ knowledge, few studies have been conducted on the tri-objective privacy-aware multi-workflow scheduling in hybrid cloud (PMWS-HC). To solve this problem, we dissect various factors involved during task scheduling and devise a novel Heuristic Scheduling Algorithm based on 9 Factors (HSA9Fs), which dynamically selects the workflows and tasks to be scheduled, and the corresponding VMs to execute them. To optimize the three conflicting objectives simultaneously, we propose a nested algorithm called MSIA, which first employs a Multi-objective Salp swarm algorithm to explore for the Pareto solutions, and then uses an Iterative greedy Algorithm to perform a refined search on individuals to obtain high-quality solutions. Extensive Medium-Small-Scale and Large-Scale simulation experiments show that both HSA9Fs and MSIA outperform state-of-the-art scheduling algorithms in several multi-objective performance metrics.}
}</t>
  </si>
  <si>
    <t>49-b</t>
  </si>
  <si>
    <t>Heuristic Scheduling Algorithm based on 9 Factors (HSA9Fs)</t>
  </si>
  <si>
    <t>Computing</t>
  </si>
  <si>
    <t>Adaptive Resource Allocation and Consolidation for Scientific Workflow Scheduling in Multi-Cloud Environments</t>
  </si>
  <si>
    <t>Online Workflow Scheduling algorithm based on Adaptive resource Allocation and Consolidation (OWS-A2C)</t>
  </si>
  <si>
    <t>article{51,
  author={Chen, Zheyi and Lin, Kai and Lin, Bing and Chen, Xing and Zheng, Xianghan and Rong, Chunming},
  journal={IEEE Access}, 
  title={Adaptive Resource Allocation and Consolidation for Scientific Workflow Scheduling in Multi-Cloud Environments}, 
  year={2020},
  volume={8},
  number={},
  pages={190173-190183},
  keywords={Task analysis;Resource management;Scheduling;Cloud computing;Pricing;Scheduling algorithms;Multi-cloud environments;scientific workflows;scheduling optimization;resource allocation;resource consolidation},
  doi={10.1109/ACCESS.2020.3032545}}</t>
  </si>
  <si>
    <t>Dynamic Multiworkflow Deadline and Budget Constrained Scheduling in Heterogeneous Distributed Systems</t>
  </si>
  <si>
    <t>IEEE Systems Journal</t>
  </si>
  <si>
    <t>Dynamic MultiWorkflow Heterogeneous Deadline and Budget-constrained Scheduling (DMW-HDBS)</t>
  </si>
  <si>
    <t>article{52,
  author={Wang, Guan and Wang, Yuxin and Obaidat, Mohammad S. and Lin, Chi and Guo, He},
  journal={IEEE Systems Journal}, 
  title={Dynamic Multiworkflow Deadline and Budget Constrained Scheduling in Heterogeneous Distributed Systems}, 
  year={2021},
  volume={15},
  number={4},
  pages={4939-4949},
  keywords={Task analysis;Dynamic scheduling;Heuristic algorithms;Quality of service;Heterogeneous networks;Resource management;Scheduling algorithms;Budget constrained;concurrent workflows;deadline constrained;dynamic scheduling systems;heterogeneous distributed system},
  doi={10.1109/JSYST.2021.3087527}}</t>
  </si>
  <si>
    <t>Clustering-assisted gradient-based optimizer for scheduling parallel cloud workflows with budget constraints</t>
  </si>
  <si>
    <t>Clustering-assisted Gradient-Based Optimizer (C-GBO)</t>
  </si>
  <si>
    <t>Monetary Cost Optimizations for Hosting Workflow-as-a-Service in IaaS Clouds</t>
  </si>
  <si>
    <t>article{54,
  author={Zhou, Amelie Chi and He, Bingsheng and Liu, Cheng},
  journal={IEEE Transactions on Cloud Computing}, 
  title={Monetary Cost Optimizations for Hosting Workflow-as-a-Service in IaaS Clouds}, 
  year={2016},
  volume={4},
  number={1},
  pages={34-48},
  keywords={Probabilistic logic;Optimization;Cloud computing;Dynamic scheduling;Quality of service;Heuristic algorithms;Interference;Cloud computing,;cloud dynamics,;spot prices,;monetary cost optimizations;scientific workflows;Cloud computing;cloud dynamics;spot prices;monetary cost optimizations;scientific workflows},
  doi={10.1109/TCC.2015.2404807}}</t>
  </si>
  <si>
    <t>Dyna</t>
  </si>
  <si>
    <t>A Declarative Optimization Engine for Resource Provisioning of Scientific Workflows in Geo-Distributed Clouds</t>
  </si>
  <si>
    <t>article{55,
  author={Zhou, Amelie Chi and He, Bingsheng and Cheng, Xuntao and Lau, Chiew Tong},
  journal={IEEE Transactions on Parallel and Distributed Systems}, 
  title={A Declarative Optimization Engine for Resource Provisioning of Scientific Workflows in Geo-Distributed Clouds}, 
  year={2017},
  volume={28},
  number={3},
  pages={647-661},
  keywords={Cloud computing;Optimization;Engines;Asia;Complexity theory;Probabilistic logic;Runtime;Resource provisioning;scientific workflows;declarative optimizations;geo-distributed clouds},
  doi={10.1109/TPDS.2016.2599529}}</t>
  </si>
  <si>
    <t>Geco</t>
  </si>
  <si>
    <t>Multi-Tree Genetic Programming Hyper-Heuristic for Dynamic Flexible Workflow Scheduling in Multi-Clouds</t>
  </si>
  <si>
    <t>Multi-Tree Genetic Programming (MTGP)</t>
  </si>
  <si>
    <t>article{57,
  author={Sun, Zaixing and Mei, Yi and Zhang, Fangfang and Huang, Hejiao and Gu, Chonglin and Zhang, Mengjie},
  journal={IEEE Transactions on Services Computing}, 
  title={Multi-Tree Genetic Programming Hyper-Heuristic for Dynamic Flexible Workflow Scheduling in Multi-Clouds}, 
  year={2024},
  volume={},
  number={},
  pages={1-16},
  keywords={Dynamic scheduling;Cloud computing;Task analysis;Costs;Heuristic algorithms;Processor scheduling;Genetic programming;Dynamic workflow scheduling;multi-clouds;genetic programming;hyper-heuristic;deadline constraint},
  doi={10.1109/TSC.2024.3394691}}</t>
  </si>
  <si>
    <t>Cost-efficient Workflow as a Service using Containers</t>
  </si>
  <si>
    <t>article{58,
  author={Karmakar, Kamalesh and Tarafdar, Anurina and  Das, Rajib K. and Khatua, Sunirmal},
  journal={Journal of Grid Computing}, 
  title={Cost-efficient Workflow as a Service using Containers}, 
  year={2024},
  volume={22},
  number={1},
  pages={40-},
 doi={10.1007/s10723-024-09745-7}}</t>
  </si>
  <si>
    <t>Mathematical Optimization</t>
  </si>
  <si>
    <t>A deep reinforcement learning-based scheduling framework for real-time workflows in the cloud environment</t>
  </si>
  <si>
    <t>article{59,
title = {A deep reinforcement learning-based scheduling framework for real-time workflows in the cloud environment},
journal = {Expert Systems with Applications},
volume = {255},
pages = {124845},
year = {2024},
issn = {0957-4174},
doi = {https://doi.org/10.1016/j.eswa.2024.124845},
url = {https://www.sciencedirect.com/science/article/pii/S0957417424017123},
author = {Jiahui Pan and Yi Wei},
keywords = {Cloud computing, Multiple workflows, Real-time scheduling, Deep reinforcement learning, WorkflowSim},
abstract = {Benefiting from the flexibility, scalability and many other advantages of cloud computing, an increasing number of research institutions and enterprises are using cloud platforms to deploy their scientific or commercial workflow applications. From the perspective of cloud service providers, how to schedule workflows reasonably to improve user satisfaction and resource utilization is a big challenge. This challenge becomes more prominent in a dynamic cloud environment, where the workload of user-submitted workflows is constantly changing and unpredictable. Traditional scheduling methods designed for fixed workflows or real-time independent tasks are not applicable in such scenarios. In this paper, we present an online scheduling framework for multiple real-time workflows in a dynamic environment. In this framework, the scheduler employs a deep reinforcement learning based algorithm (R-DQN) to assign each task in workflows to a suitable virtual machine instance according to the current situation. Its goal is to achieve optimal task scheduling and resource allocation, so as to minimize workflow makespan and maximize resource utilization. We provide a comprehensive overview of the design and implementation of our approach, and we conduct experiments using various workflow benchmarks with different structures and scales on the WorkflowSim platform. The experimental results demonstrate that our algorithm significantly outperforms the compared algorithms in term of makespan and other metrics. Moreover, our algorithm demonstrates strong performance in generality, robustness and scalability.}
}</t>
  </si>
  <si>
    <t>Clustering-based multi-objective optimization considering fairness for multi-workflow scheduling on clouds</t>
  </si>
  <si>
    <t>Journal of Parallel and Distributed Computing</t>
  </si>
  <si>
    <t>Cost-aware scheduling systems for real-time workflows in cloud: An approach based on Genetic Algorithm and Deep Reinforcement Learning</t>
  </si>
  <si>
    <t>Genetic-Based Two Granularity Ordering Methods for Multiple Workflow Scheduling</t>
  </si>
  <si>
    <t>Regularization - Deep Q-Network (R-DQN)</t>
  </si>
  <si>
    <t>Genetic Algorithm - Deep Q-Network (GA-DQN)</t>
  </si>
  <si>
    <t>Workflow Scheduling in Multi-Tenant Cloud Computing Environments</t>
  </si>
  <si>
    <t>Cloud-based Workflow Scheduling Algorithm (CWSA)</t>
  </si>
  <si>
    <t>Rules-based scheduling heuristic with hybrid provisioning (RBSHP)</t>
  </si>
  <si>
    <t>Scheduling ensemble workflows on hybrid resources in IaaS clouds</t>
  </si>
  <si>
    <t>A collaborative multi-objective meta-heuristic for deadline-constrained multi-workflows scheduling in cloud environment</t>
  </si>
  <si>
    <t>Collaborative Multi-Objective Meta-Heuristic (CMOMH)</t>
  </si>
  <si>
    <t>Engineering Applications of Artificial Intelligence</t>
  </si>
  <si>
    <t>Uncertainty-aware online deadline-constrained scheduling of parallel applications in distributed heterogeneous systems</t>
  </si>
  <si>
    <t xml:space="preserve">Online Parallel Applications Deadline-Constrained Scheduling algorithm (OPADCS) </t>
  </si>
  <si>
    <t>Computers and Industrial Engineering</t>
  </si>
  <si>
    <t>Scheduling Constrained Cloud Workflow Tasks via Evolutionary Multitasking Optimization With Adaptive Knowledge Transfer</t>
  </si>
  <si>
    <t xml:space="preserve">article{18,
author={Zhou, Jiajun and Gao, Liang and Rao, Shijie and Li, Yun},
journal={ IEEE Transactions on Services Computing },
title={{ Scheduling Constrained Cloud Workflow Tasks via Evolutionary Multitasking Optimization With Adaptive Knowledge Transfer }},
year={2024},
volume={17},
number={06},
ISSN={1939-1374},
pages={4254-4266},
abstract={ Cloud workflow scheduling (CWS) is critical for meeting user's high performance expectations in large-scale data processing and computing applications. CWS is known to be NP-hard and needs advanced scheduling techniques. Evolutionary algorithm and heuristic-based search techniques have gained massive popularity in addressing CWS, yet they either suffer from expensive computational cost or heavily rely on domain-specific experiences, which limit their practical applications. Bearing this in mind, we develop a novel evolutionary multi-task optimization framework to tackle a group of constrained CWS tasks simultaneously with the aid of adaptive cross-task problem-solving knowledge transfer. In particular, two collaborative knowledge exchange strategies, namely, constraint-free archive strategy and cross-task evolution strategy, are devised to extract useful building blocks from foreign tasks to boost the search efficiency. Further, to leverage the cooperative effects of both strategies, we develop an adaptive switching mechanism such that appropriate knowledge transfer strategies are learned automatically according to the population evolution status. Extensive experiments are conducted on real-world applications under various conditions, the comparison results show that our proposal delivers higher quality schedules than the state-of-the-art competitors in most cases. },
keywords={Processor scheduling;Search problems;Problem-solving;Optimal scheduling;Heuristic algorithms;Genetic algorithms;Costs},
doi={10.1109/TSC.2024.3463423},
url = {https://doi.ieeecomputersociety.org/10.1109/TSC.2024.3463423},
publisher={IEEE Computer Society},
address={Los Alamitos, CA, USA},
month=nov}
</t>
  </si>
  <si>
    <t>Evolutionary Multitasking Constrained Optimization-Adaptive Double-level knowledge Transfer (EMCO-ADT)
Evolutionary Multitasking Constrained Optimization-Adaptive Double-level knowledge Transfer (EMCO-ADT)</t>
  </si>
  <si>
    <t>article{36,
title = {Clustering-based multi-objective optimization considering fairness for multi-workflow scheduling on clouds},
journal = {Journal of Parallel and Distributed Computing},
volume = {194},
pages = {104968},
year = {2024},
issn = {0743-7315},
doi = {https://doi.org/10.1016/j.jpdc.2024.104968},
url = {https://www.sciencedirect.com/science/article/pii/S0743731524001321},
author = {Feng Li and Wen Jun Tan and Moon Gi Seok and Wentong Cai},
keywords = {Multi-objective optimization, Multi-workflow scheduling, Scheduling fairness, Clustering-based resource allocation},
abstract = {Distributed computing, such as cloud computing, provides promising platforms for orchestrating scientific workflows' tasks based on their sequences and dependencies. Workflow scheduling plays an important role in optimizing concerned objectives for distributed computing, such as minimizing the makespan and cost. Many researchers have focused on optimizing a specific single workflow with multiple objectives. Currently, there are few studies on multi-workflow scheduling, with most research focusing on objectives such as cost and makespan. However, multi-workflow scheduling requires the design of specific objectives that reflect the unique characteristics of multiple workflows. On the other hand, clustering-based approaches have garnered significant attention in the field of workflow scheduling over distributed computing resources due to their advantage in reducing data communication among tasks. Despite this, the effectiveness of clustering-based algorithms has not been extensively studied and validated in the context of multi-objective multi-workflow scheduling models. Motivated by these factors, we propose an approach for multiple workflows' multi-objective optimization (MOO), considering the new defined metric, fairness. We first mathematically formulate the fairness and define a fairness-involved MOO model. Then, we propose an advanced clustering-based resource optimization strategy in multiple workflow runs. Experimental results show that the proposed approach performs better than the compared algorithms without significant compromise of the overall makespan and cost as well as individual fairness, which can guide the simulation workflow scheduling on clouds.}
}</t>
  </si>
  <si>
    <t>sidering Critical Subsequent Task (DFS-CST)</t>
  </si>
  <si>
    <t>Depth-First-Search considering Critical Subsequent Task(DFS-CST)</t>
  </si>
  <si>
    <t>Enhancing generalization in genetic programming hyper-heuristics through mini-batch sampling strategies for dynamic workflow scheduling</t>
  </si>
  <si>
    <t>Information Sciences</t>
  </si>
  <si>
    <t>Genetic Programming Hyper-Heuristics with an instance Sampling strategy (GPHHS)</t>
  </si>
  <si>
    <t>article{50,
  author={Li, Huifang and Chen, Boyuan and Huang, Jingwei and Song, Zhuoyue and Xia, Yuanqing},
  journal={The Journal of Supercomputing}, 
  title={Clustering-assisted gradient-based optimizer for scheduling parallel cloud workflows with budget constraints}, 
  year={2024},
  volume={80},
  number={12},
  pages={17097-17034},
 doi={10.1007/s11227-024-06114-9}}</t>
  </si>
  <si>
    <t>Type</t>
  </si>
  <si>
    <t>Journal</t>
  </si>
  <si>
    <t>International Conference on Computational Science</t>
  </si>
  <si>
    <t>Conference</t>
  </si>
  <si>
    <t>article{45,
  author={Rimal, Bhaskar Prasad and Maier, Martin},
  journal={IEEE Transactions on Parallel and Distributed Systems}, 
  title={Workflow Scheduling in Multi-Tenant Cloud Computing Environments}, 
  year={2017},
  volume={28},
  number={1},
  pages={290-304},
  keywords={Cloud computing;Processor scheduling;Resource management;Computer architecture;Scalability;Dynamic scheduling;Cloud computing;direct acyclic graph;multi-tenancy;resource management;scientific workflow applications},
  doi={10.1109/TPDS.2016.2556668}}</t>
  </si>
  <si>
    <t>article{44,
title = {A collaborative multi-objective meta-heuristic for deadline-constrained multi-workflows scheduling in cloud environment},
journal = {Engineering Applications of Artificial Intelligence},
volume = {142},
pages = {109907},
year = {2025},
issn = {0952-1976},
doi = {https://doi.org/10.1016/j.engappai.2024.109907},
url = {https://www.sciencedirect.com/science/article/pii/S0952197624020669},
author = {Shuo Qin and Zhongshi Shao},
keywords = {Multi-workflows scheduling, Meta-heuristic, Multi-objective optimization, Deadline constraint, Cloud computing},
abstract = {As cloud computing technology rapidly advances, various organizations are increasingly migrating their complex workflow applications to cloud platforms. Given the diverse demands of users, multi-objective scheduling for multiple workflows has become both necessary and challenging. To tackle the deadline-constrained multi-objective multi-workflows scheduling problem, this paper introduces a collaborative multi-objective meta-heuristic (CMOMH), aiming to optimize a set of schedules that adhere to deadline constraint of each workflow while minimizing total execution time and cost. Within CMOMH, a bi-population co-evolutionary mechanism is crafted to prevent information exchange between feasible and infeasible schedules. A constraint-aware objective function is employed to evaluate infeasible schedules, and a differential evolution-based framework is leveraged to optimize the feasible ones. To maintain the task-to-virtual machine mapping, a sampling-based crossover operator is utilized to explore non-dominated schedules using a multi-point crossover strategy and a probability model. Additionally, two perturbation operators are integrated to enhance population diversity. Simulation results reveal that CMOMH significantly outperforms related state-of-the-art algorithms at the 95% confidence level, demonstrating its effectiveness in addressing the multi-objective scheduling challenges in cloud environments.}
}</t>
  </si>
  <si>
    <t>article{53,
  author={Chen, Long and Liu, Guangrui and  Zhang, Jinquan and Zhang, Xiaodon},
  journal={Computing}, 
  title={Scheduling ensemble workflows on hybrid resources in IaaS clouds}, 
  year={2024},
  volume={107},
  number={1},
  pages={22},
 doi={10.1007/s00607-024-01386-8}}</t>
  </si>
  <si>
    <t>A Framework for Automated Parallel Execution of Scientific Multi-workflow Applications in the Cloud with Work Stealing</t>
  </si>
  <si>
    <t>European Conference on Parallel Processing (EuroPar)</t>
  </si>
  <si>
    <t>Cost-Aware Dynamic Cloud Workflow Scheduling Using Self-attention and Evolutionary Reinforcement Learning</t>
  </si>
  <si>
    <t>International Conference on Service Oriented Computing (ICSOC)</t>
  </si>
  <si>
    <t>Self attention Policy Network for Cloud Workflow Scheduling (SPN-CWS)</t>
  </si>
  <si>
    <t>article{56,
  author={Li, Feng and Tan, Wen Jun and Seok, Moon Gi and Cai, Wentong},
  journal={IEEE Access}, 
  title={Genetic-Based Two Granularity Ordering Methods for Multiple Workflow Scheduling}, 
  year={2024},
  volume={12},
  number={},
  pages={1747-1760},
  keywords={Task analysis;Costs;Scheduling;Resource management;Optimization;Clustering algorithms;Quality of service;Cloud computing;Cloud computing;multi-workflow;multi-objective optimization;task ordering;cluster ordering},
  doi={10.1109/ACCESS.2023.3337832}}</t>
  </si>
  <si>
    <t>article{60,
title = {Cost-aware scheduling systems for real-time workflows in cloud: An approach based on Genetic Algorithm and Deep Reinforcement Learning},
journal = {Expert Systems with Applications},
volume = {234},
pages = {120972},
year = {2023},
issn = {0957-4174},
doi = {https://doi.org/10.1016/j.eswa.2023.120972},
url = {https://www.sciencedirect.com/science/article/pii/S0957417423014744},
author = {Jingwei Zhang and Long Cheng and Cong Liu and Zhiming Zhao and Ying Mao},
keywords = {Workflow scheduling, Cloud computing, Deep Reinforcement Learning, Deep Q-learning, Genetic Algorithm},
abstract = {With the development of cloud computing, a growing number of applications are migrating to a cloud environment. In the process, the real-time scheduling of workflows has gradually become a technical challenge, due to the dynamic and uncertain nature of cloud environments and the complex dependencies between sub-tasks of the workflow. Although various methods have been reported up to now, these methods have their respective shortcomings, such as heuristic-based methods are hard to find optimal scheduling scheme and metaheuristic-based methods incur high computational overhead, which often lead to the violation of QoS (Quality of Service) requirements and increases service renting costs of executing workflows. Inspired by the successful application of Deep Reinforcement Learning (DRL) in cloud job scheduling, this paper proposes a real-time workflow scheduling method which combines Genetic Algorithm (GA) and DRL, aiming to reduce both execution cost and response time. To be specific, we design a real-time workflow scheduling algorithm named GA-DQN by combining the global search capability of GA and the environment awareness decision-making capability of DRL to divides scheduling process into two stages. First, the execution scheme of workflow in virtual machine is calculated when workflow arrives. Then, a DRL agent uses this scheme as the feature of workflow to assign workflow to a suitable virtual machine. In this way, the use of DRL to sense environment increases the computational efficiency of GA, and the execution scheme obtained by GA helps DRL to obtain the feature of workflow. On this basis of real world workflow, three groups of simulation experience are carried out to compare GA-DQN with four baseline method which consist of three traditional methods and a state-of-the-art method. The comparison results demonstrate that GA-DQN outperforms the other methods in terms of response time, execution cost, and success rate across different workloads and cloud instance configurations.}
}</t>
  </si>
  <si>
    <t>A Fuzzy Scheduling Strategy for Online Multi-workflows in IaaS Clouds</t>
  </si>
  <si>
    <t>inproceedings{64,
  author={Ye, Lingjuan and Xia, Yuanqing and Yang, Liwen and Wu, Chu-Ge and Zhan, Yufeng},
  booktitle={2022 41st Chinese Control Conference (CCC)}, 
  title={A Fuzzy Scheduling Strategy for Online Multi-workflows in IaaS Clouds}, 
  year={2022},
  volume={},
  number={},
  pages={2428-2433},
  keywords={Cloud computing;Schedules;Costs;Scheduling algorithms;Heuristic algorithms;Scheduling;Virtual machining;Workflow scheduling;Fuzzy processing time;Deadline constraint;Cloud computing},
  doi={10.23919/CCC55666.2022.9902489}}</t>
  </si>
  <si>
    <t>Chinese Control Conference (CCC)</t>
  </si>
  <si>
    <t>Workflow Fuzzy Scheduling Algorithm (WFSA)</t>
  </si>
  <si>
    <t>Uncertainty-Aware Real-Time Workflow Scheduling in the Cloud</t>
  </si>
  <si>
    <t>International Conference on Cloud Computing (CLOUD)</t>
  </si>
  <si>
    <t>inproceedings{65,
  author={Chen, Huangke and Zhu, Xiaomin and Qiu, Dishan and Liu, Ling},
  booktitle={2016 IEEE 9th International Conference on Cloud Computing (CLOUD)}, 
  title={Uncertainty-Aware Real-Time Workflow Scheduling in the Cloud}, 
  year={2016},
  volume={},
  number={},
  pages={577-584},
  keywords={Cloud computing;Scheduling;Uncertainty;Computer architecture;Schedules;Scheduling algorithms},
  doi={10.1109/CLOUD.2016.0082}}</t>
  </si>
  <si>
    <t>Proactive Reactive Scheduling (PRS)</t>
  </si>
  <si>
    <t>International Conference on Cloud Computing Technology and Science (CloudCom)</t>
  </si>
  <si>
    <t>Online Multiple Workflow Scheduling under Privacy and Deadline in Hybrid Cloud Environment</t>
  </si>
  <si>
    <t>inproceedings{66,
  author={Sharif, Shaghayegh and Taheri, Javid and Zomaya, Albert Y. and Nepal, Surya},
  booktitle={2014 IEEE 6th International Conference on Cloud Computing Technology and Science}, 
  title={Online Multiple Workflow Scheduling under Privacy and Deadline in Hybrid Cloud Environment}, 
  year={2014},
  volume={},
  number={},
  pages={455-462},
  keywords={Privacy;Cloud computing;Processor scheduling;Dynamic scheduling;Schedules;Heuristic algorithms;multiple workflow scheduling;Hybrid Cloud;software-as-a-service},
  doi={10.1109/CloudCom.2014.128}}</t>
  </si>
  <si>
    <t>Online scheduling for Privacy in Hybrid Clouds using Task Ranking (OPHC-TR) and  Online Multiterminal Cut for Privacy in Hybrid Clouds using PCP Ranking (OMPHC-PCPR).</t>
  </si>
  <si>
    <t>International Conference on Algorithms and Architectures for Parallel Processing (ICA3PP)</t>
  </si>
  <si>
    <t>Scheduling Concurrent Workflows in HPC Cloud through Exploiting Schedule Gaps</t>
  </si>
  <si>
    <t xml:space="preserve">inproceedings{67,
author="Jiang, He-Jhan
and Huang, Kuo-Chan
and Chang, Hsi-Ya
and Gu, Di-Syuan
and Shih, Po-Jen",
editor="Xiang, Yang
and Cuzzocrea, Alfredo
and Hobbs, Michael
and Zhou, Wanlei",
title="Scheduling Concurrent Workflows in HPC Cloud through Exploiting Schedule Gaps",
booktitle="Algorithms and Architectures for Parallel Processing",
year="2011",
publisher="Springer Berlin Heidelberg",
address="Berlin, Heidelberg",
pages="282--293",
abstract="Many large-scale scientific applications are usually constructed as workflows due to large amounts of interrelated computation and communication. Workflow scheduling has long been a research topic in parallel and distributed computing. However, most previous research focuses on single workflow scheduling. As cloud computing emerges, users can now have easy access to on-demand high performance computing resources, usually called HPC cloud. Since HPC cloud has to serve many users simultaneously, it is common that many workflows submitted from different users are running concurrently. Therefore, how to schedule concurrent workflows efficiently becomes an important issue in HPC cloud environments. Due to the dependency and communication costs between tasks in a workflow, there usually are gaps formed in the schedule of a workflow. In this paper, we propose a method which exploits such schedule gaps to efficiently schedule concurrent workflows in HPC cloud. The proposed scheduling method was evaluated with a series of simulation experiments and compared to the existing method in the literature. The results indicate that our method can deliver good performance and outperform the existing method significantly in terms of average makespan, up to 18{\%} performance improvement.",
isbn="978-3-642-24650-0"
}
</t>
  </si>
  <si>
    <t>Distributed Gap Search (DGS)</t>
  </si>
  <si>
    <t>International Symposium on Parallel and Distributed Processing with Applications (ISPA)</t>
  </si>
  <si>
    <t>A Multiple QoS Constrained Scheduling Strategy of Multiple Workflows for Cloud Computing</t>
  </si>
  <si>
    <t>inproceedings{68,
  author={Xu, Meng and Cui, Lizhen and Wang, Haiyang and Bi, Yanbing},
  booktitle={2009 IEEE International Symposium on Parallel and Distributed Processing with Applications}, 
  title={A Multiple QoS Constrained Scheduling Strategy of Multiple Workflows for Cloud Computing}, 
  year={2009},
  volume={},
  number={},
  pages={629-634},
  keywords={Processor scheduling;Cloud computing;Quality of service;Scheduling algorithm;Costs;Partitioning algorithms;Algorithm design and analysis;Distributed processing;Application software;Bismuth;Cloud Computing;Scheduling;Multiple QoS Requirements;Multiple Workflows},
  doi={10.1109/ISPA.2009.95}}</t>
  </si>
  <si>
    <t>Multiple QoS constrained scheduling strategy of Multi-Workflows (MQMW)</t>
  </si>
  <si>
    <t>Scheduling Multiple Workflows with Time Constraints onto Cloud Computing Resources</t>
  </si>
  <si>
    <t>inproceedings{69,
  author={Zheng, Wei and Shen, Lin and Bugingo, Emmanuel and Zhang, Dongzhan},
  booktitle={2019 IEEE Intl Conf on Parallel &amp; Distributed Processing with Applications, Big Data &amp; Cloud Computing, Sustainable Computing &amp; Communications, Social Computing &amp; Networking (ISPA/BDCloud/SocialCom/SustainCom)}, 
  title={Scheduling Multiple Workflows with Time Constraints onto Cloud Computing Resources}, 
  year={2019},
  volume={},
  number={},
  pages={572-579},
  keywords={Task analysis;Processor scheduling;Cloud computing;Scheduling;Merging;Time factors;Resource management;Cloud computing;Multiple workflows;Constrained scheduling;Resources utilization},
  doi={10.1109/ISPA-BDCloud-SustainCom-SocialCom48970.2019.00087}}</t>
  </si>
  <si>
    <t>Merge Concurrently Submitted Workflows(MCSW)</t>
  </si>
  <si>
    <t>International Conference on Parallel Processing (ICPP)</t>
  </si>
  <si>
    <t>Executing Large Scale Scientific Workflow Ensembles in Public Clouds</t>
  </si>
  <si>
    <t>inproceedings{70,
  author={Jiang, Qingye and Lee, Young Choon and Zomaya, Albert Y.},
  booktitle={2015 44th International Conference on Parallel Processing}, 
  title={Executing Large Scale Scientific Workflow Ensembles in Public Clouds}, 
  year={2015},
  volume={},
  number={},
  pages={520-529},
  keywords={Cloud computing;Scheduling;Processor scheduling;Australia;Electronic mail;Information technology;Engines;workflow ensemble;cloud computing;parallel computing;resource provisioning},
  doi={10.1109/ICPP.2015.61}}</t>
  </si>
  <si>
    <t>Distributed Elastic scientific Workflow Execution (DEWE v2)</t>
  </si>
  <si>
    <t>International Conference on Service-Oriented Computing (ICSOC)</t>
  </si>
  <si>
    <t>Cost-Aware Dynamic Multi-Workflow Scheduling in Cloud Data Center Using Evolutionary Reinforcement Learning</t>
  </si>
  <si>
    <t xml:space="preserve">inproceedings{71,
author="Huang, Victoria
and Wang, Chen
and Ma, Hui
and Chen, Gang
and Christopher, Kameron",
editor="Troya, Javier
and Medjahed, Brahim
and Piattini, Mario
and Yao, Lina
and Fern{\'a}ndez, Pablo
and Ruiz-Cort{\'e}s, Antonio",
title="Cost-Aware Dynamic Multi-Workflow Scheduling in Cloud Data Center Using Evolutionary Reinforcement Learning",
booktitle="Service-Oriented Computing",
year="2022",
publisher="Springer Nature Switzerland",
address="Cham",
pages="449--464",
abstract="The Dynamic Multi-Workflow Scheduling (DMWS) problem aims to allocate highly complex tasks modeled as workflows to cloud resources while optimizing workflow brokers' interests. A workflow broker offers workflow execution services to end-users with agreed Service Level Agreements (SLA) while reducing its total VM rental fees in the meantime. Most existing DMWS-related research works focus on minimizing the workflow makespan by using either heuristics or hyper-heuristics techniques. However, these techniques were either designed for static workflow scheduling based on prior workflow information and/or the simplified cloud environment. In this paper, the DMWS problem is formulated to collectively minimize VM rental fees and SLA violation penalties. Moreover, we introduce a novel priority-based deep neural network scheduling policy that can flexibly adapt to a changing number of VMs and workflows. To train the new policy, a new Evolutionary Strategy based Reinforcement Learning (ES-RL) is developed and implemented. Different from gradient-based deep reinforcement learning algorithms, ES-RL has its advances in effectively training population-based and generally applicable policies in parallel as well as robustness to hyper-parameter settings. Our experiments with real-world datasets show that ES-RL can effectively train scheduling policies that can significantly reduce the costs by more than 90{\%} compared to the state-of-the-art scheduling policies.",
isbn="978-3-031-20984-0"
}
</t>
  </si>
  <si>
    <t>Evolutionary Strategy based Reinforcement Learning (ES-RL)</t>
  </si>
  <si>
    <t>Australasian Joint Conference on Artificial Intelligence (AI)</t>
  </si>
  <si>
    <t>Transfer Learning Assisted GPHH for Dynamic Multi-Workflow Scheduling in Cloud Computing</t>
  </si>
  <si>
    <t xml:space="preserve">inproceedings{72,
author="Escott, Kirita-Rose
and Ma, Hui
and Chen, Gang",
editor="Long, Guodong
and Yu, Xinghuo
and Wang, Sen",
title="Transfer Learning Assisted GPHH for Dynamic Multi-Workflow Scheduling in Cloud Computing",
booktitle="AI 2021: Advances in Artificial Intelligence",
year="2022",
publisher="Springer International Publishing",
address="Cham",
pages="440--451",
abstract="Dynamic Multi-Workflow Scheduling (DWS) in cloud is a challenging optimisation due to the dynamic nature of the problem. It requires complex mapping decisions to be made under unknown dynamic events. Genetic Programming Hyper-Heuristic (GPHH) has been successfully applied to generate scheduling heuristics for DWS due to its flexible representation. However, the simulation-based evaluation is computationally expensive due to calculations required by individuals to make decisions in the simulation. To improve efficiency, this paper proposes a novel Transfer Learning (TL) Assisted GPHH (TL-GPHH). Specifically, TL-GPHH is designed and compared with Non-Assisted GPHH to generate effective heuristic rules in less time. The results show that the proposed algorithm generates heuristics that can minimise makespan in more scenarios than Non-Assisted GPHH and other state-of-the-art heuristics. Moreover, the proposed algorithm can reduce the computational costs of GP without sacrificing the performance.",
isbn="978-3-030-97546-3"
}
</t>
  </si>
  <si>
    <t>Transfer Learning  assisted Genetic Programming Hyper-Heuristic (TL-GPHH)</t>
  </si>
  <si>
    <t>International Conference on Service Science (CLOSER)</t>
  </si>
  <si>
    <t>Security-Aware Scheduling of Multiple Scientific Workflows in Cloud</t>
  </si>
  <si>
    <t xml:space="preserve">inproceedings{73,
author="Roy, Shubhro
and Gharote, Mangesh
and Ramamurthy, Arun
and Pawar, Anand
and Lodha, Sachin",
editor="van Steen, Maarten
and Ferguson, Donald
and Pahl, Claus",
title="Security-Aware Scheduling of Multiple Scientific Workflows in Cloud",
booktitle="Cloud Computing and Services Science",
year="2024",
publisher="Springer Nature Switzerland",
address="Cham",
pages="1--24",
abstract="With the advent of cloud computing benefits of unlimited computing resources at low cost and flexibility due to virtualization technology, has attracted attention for executing complex scientific processes. The scientific workflows comprise of interdependent and heterogenous tasks. The cloud provides different instances of VMs (computing, memory, storage) and different security services (such as authentication, integrity, confidentiality) for secure processing to this complex workflow. It becomes challenging to select the right combination of VM instance type to optimize overall cost and processing duration (makespan) and selecting the right combination of security levels to keep the risk rate within permissible limits.",
isbn="978-3-031-68165-3"
}
</t>
  </si>
  <si>
    <t>OptReUse</t>
  </si>
  <si>
    <t>article{61,
title = {Workflow as a Service in the Cloud: Architecture and Scheduling Algorithms},
journal = {Procedia Computer Science},
volume = {29},
pages = {546-556},
year = {2014},
note = {2014 International Conference on Computational Science},
issn = {1877-0509},
doi = {https://doi.org/10.1016/j.procs.2014.05.049},
url = {https://www.sciencedirect.com/science/article/pii/S1877050914002269},
author = {Jianwu Wang and Prakashan Korambath and Ilkay Altintas and Jim Davis and Daniel Crawl},
keywords = {Workflow, Cloud, Workflow as a Service (WFaaS) architecture, workflow scheduling algorithms},
abstract = {With more and more workflow systems adopting cloud as their e xecution environment, it becomes increasingly challenging on how to effic iently manage various workflows, v irtual machines (VMs) and workflow e xecution on VM instances. To make the system scalable and easy-to-extend, we design a Workflow as a Service (WFaaS) a rchitecture with independent services. A core part of the architecture is how to efficiently respond continuous workflo w requests from users and schedule their e xecutions in the c loud. Based on diffe rent targets, we p ropose four heuristic workflo w scheduling a lgorith ms for the WFaaS architecture, and analy ze the differences and best usages of the algorith ms in terms of performance, cost and the price/performance ratio via experimental studies.}
}</t>
  </si>
  <si>
    <t xml:space="preserve">inproceedings{62,
author="Silva, Helena S. I. L.
and Castro, Maria C. S.
and Silva, Fabricio A. B.
and Melo, Alba C. M. A.",
editor="Carretero, Jesus
and Shende, Sameer
and Garcia-Blas, Javier
and Brandic, Ivona
and Olcoz, Katzalin
and Schreiber, Martin",
title="A Framework for Automated Parallel Execution of Scientific Multi-workflow Applications in the Cloud with Work Stealing",
booktitle="Euro-Par 2024: Parallel Processing",
year="2024",
publisher="Springer Nature Switzerland",
address="Cham",
pages="298--311",
abstract="In this paper, we propose and evaluate an MPI/OpenMP framework to execute cloud applications composed of scientific linear multi-workflows with unknown task execution times and substantial I/O activity. In order to achieve load balancing, our framework incorporates a two-level work stealing strategy, with intra-node and inter-node stealing. The framework was evaluated in a cluster of 16 virtual machine (VM) instances (4 vCPUs), deployed on AWS Parallel Cluster. The results show that, for a real Bioinformatics application composed of 400 workflows, we are able to reduce the execution time from 1 h and 57 min (sequential) to 2 min and 52 s (16 instances), achieving a speedup of 40.89x, with 64 threads.",
isbn="978-3-031-69583-4"
}
</t>
  </si>
  <si>
    <t xml:space="preserve">inproceedings{63,
author="Shen, Ya
and Chen, Gang
and Ma, Hui
and Zhang, Mengjie",
editor="Gaaloul, Walid
and Sheng, Michael
and Yu, Qi
and Yangui, Sami",
title="Cost-Aware Dynamic Cloud Workflow Scheduling Using Self-attention and Evolutionary Reinforcement Learning",
booktitle="Service-Oriented Computing",
year="2025",
publisher="Springer Nature Singapore",
address="Singapore",
pages="3--18",
abstract="As a key cloud management problem, Cost-aware Dynamic Multi-Workflow Scheduling (CDMWS) aims to assign virtual machine (VM) instances to execute tasks in workflows so as to minimize the total costs, including both the penalties for violating Service Level Agreement (SLA) and the VM rental fees. Powered by deep neural networks, Reinforcement Learning (RL) methods can construct effective scheduling policies for solving CDMWS problems. Traditional policy networks in RL often use basic feedforward architectures to separately determine the suitability of assigning any VM instances, without considering all VMs simultaneously to learn their global information. This paper proposes a novel self-attention policy network for cloud workflow scheduling (SPN-CWS) that captures global information from all VMs. We also develop an Evolution Strategy-based RL (ERL) system to train SPN-CWS reliably and effectively. The trained SPN-CWS can effectively process all candidate VM instances simultaneously to identify the most suitable VM instance to execute every workflow task. Comprehensive experiments show that our method can noticeably outperform several state-of-the-art algorithms on multiple benchmark CDMWS problems.",
isbn="978-981-96-0808-9"
}
</t>
  </si>
  <si>
    <t>article{11,
title = {Uncertainty-aware online deadline-constrained scheduling of parallel applications in distributed heterogeneous systems},
journal = {Computers &amp; Industrial Engineering},
volume = {196},
pages = {110450},
year = {2024},
issn = {0360-8352},
doi = {https://doi.org/10.1016/j.cie.2024.110450},
url = {https://www.sciencedirect.com/science/article/pii/S0360835224005710},
author = {Yifan Liu and Jinchao Chen and Jiangong Yang and Chenglie Du and Xiaoyan Du},
keywords = {Online scheduling, Deadline constrained, Dynamic systems, Distributed heterogeneous systems, Uncertainty-aware},
abstract = {Parallel application scheduling with deadline constraints is a crucial area in distributed heterogeneous systems, and various methodologies have been proposed. However, these approaches overlook the uncertainty of task execution times and the randomness of application arrivals. Therefore, this study aims to solve the online scheduling problem of parallel applications with deadline constraints by introducing a novel algorithm that addresses uncertainties. We develop a model for randomly arriving applications and introduce a dynamic task prioritization strategy to mitigate uncertainty. Additionally, we augment with a discard mechanism to bolster application success rates. We conducted nine groups of experiments using both randomly generated applications and real-world applications. Simulation results demonstrate that the proposed algorithm significantly outperforms three similar algorithms in terms of enhancing DAG success rate, resource utilization, and runtime efficiency.}
}</t>
  </si>
  <si>
    <t xml:space="preserve">article{37,
    author = {Esteves, Sergio and Veiga, Lui­s},
    title = "{WaaS: Workflow-as-a-Service for the Cloud with Scheduling of Continuous and Data-Intensive Workflows}",
    journal = {The Computer Journal},
    volume = {59},
    number = {3},
    pages = {371-383},
    year = {2015},
    month = {01},
    abstract = "{Data-intensive and long-lasting applications running in the form of workflows are being increasingly dispatched to cloud computing systems. Current scheduling approaches for graphs of dependencies fail to deliver high resource efficiency while keeping computation costs low, especially for continuous data processing workflows, where the scheduler does not perform any reasoning about the impact new input data may have in the workflow final output. To face such a challenge, we introduce a new scheduling criterion, Quality-of-Data (QoD), which describes the requirements about the data that are worthy of the triggering of tasks in workflows. Based on the QoD notion, we propose a novel service-oriented scheduler planner, for continuous data processing workflows, that is capable of enforcing QoD constraints and guide the scheduling to attain resource efficiency, overall controlled performance and task prioritization. To contrast the advantages of our scheduling model against others, we developed WaaS (Workflow-as-a-Service), a workflow coordinator system for the Cloud where data is shared among tasks via cloud columnar database.}",
    issn = {0010-4620},
    doi = {10.1093/comjnl/bxu158},
    url = {https://doi.org/10.1093/comjnl/bxu158},
    eprint = {https://academic.oup.com/comjnl/article-pdf/59/3/371/7902553/bxu158.pdf},
}
</t>
  </si>
  <si>
    <t>article{22,
  author={Rajasekar, P. and Palanichamy, Yogesh},
  journal={Journal of Ambient Intelligence and Humanized Computing}, 
  title={Scheduling multiple scientific workflows using containers on IaaS cloud}, 
  year={2021},
  volume={12},
  number={7},
  pages={7621-7636},
   doi={10.1007/s12652-020-02483-0}}</t>
  </si>
  <si>
    <t>Pre-pricing</t>
  </si>
  <si>
    <t>Post-pricing</t>
  </si>
  <si>
    <t>article{74,
  author={Lin, Liduo and Pan, Li and Liu, Shijun},
  journal={IEEE Transactions on Services Computing}, 
  title={SpotDAG: An RL-Based Algorithm for DAG Workflow Scheduling in Heterogeneous Cloud Environments}, 
  year={2024},
  volume={17},
  number={5},
  pages={2904-2917},
  keywords={Data processing;Job shop scheduling;Costs;Cloud computing;Optimization;Task analysis;Data models;Heterogeneous cloud environments;spot instance;on-demand instance;IaaS},
  doi={10.1109/TSC.2024.3422828}}</t>
  </si>
  <si>
    <t>SpotDAG: An RL-Based Algorithm for DAG Workflow Scheduling in Heterogeneous Cloud Environments</t>
  </si>
  <si>
    <t>SpotDAG</t>
  </si>
  <si>
    <t>Reinforcement Learning</t>
  </si>
  <si>
    <t>MCDM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</si>
</sst>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0"/>
      <name val="Calibri"/>
      <family val="2"/>
      <scheme val="minor"/>
    </font>
    <font>
      <sz val="10"/>
      <color rgb="FF000000"/>
      <name val="Calibri"/>
      <family val="2"/>
      <scheme val="minor"/>
    </font>
    <font>
      <sz val="10"/>
      <color theme="1"/>
      <name val="Arial Unicode MS"/>
      <family val="2"/>
    </font>
    <font>
      <sz val="11"/>
      <color theme="1"/>
      <name val="Wingdings 2"/>
      <family val="1"/>
      <charset val="2"/>
    </font>
    <font>
      <sz val="10"/>
      <color theme="1"/>
      <name val="Arial"/>
      <family val="2"/>
    </font>
    <font>
      <u/>
      <sz val="11"/>
      <color theme="10"/>
      <name val="Calibri"/>
      <family val="2"/>
      <scheme val="minor"/>
    </font>
    <font>
      <sz val="11"/>
      <name val="Calibri"/>
      <family val="2"/>
      <scheme val="minor"/>
    </font>
    <font>
      <sz val="10"/>
      <name val="Arial Unicode MS"/>
      <family val="2"/>
    </font>
    <font>
      <sz val="11"/>
      <color rgb="FF000000"/>
      <name val="Calibri"/>
      <family val="2"/>
      <scheme val="minor"/>
    </font>
  </fonts>
  <fills count="9">
    <fill>
      <patternFill patternType="none"/>
    </fill>
    <fill>
      <patternFill patternType="gray125"/>
    </fill>
    <fill>
      <patternFill patternType="solid">
        <fgColor theme="9" tint="0.39994506668294322"/>
        <bgColor indexed="64"/>
      </patternFill>
    </fill>
    <fill>
      <patternFill patternType="solid">
        <fgColor theme="9" tint="-0.24994659260841701"/>
        <bgColor indexed="64"/>
      </patternFill>
    </fill>
    <fill>
      <patternFill patternType="solid">
        <fgColor theme="9" tint="0.59996337778862885"/>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rgb="FFFFFFFF"/>
        <bgColor rgb="FFFFFFFF"/>
      </patternFill>
    </fill>
    <fill>
      <patternFill patternType="solid">
        <fgColor theme="9" tint="0.59999389629810485"/>
        <bgColor indexed="64"/>
      </patternFill>
    </fill>
  </fills>
  <borders count="4">
    <border>
      <left/>
      <right/>
      <top/>
      <bottom/>
      <diagonal/>
    </border>
    <border>
      <left/>
      <right style="thin">
        <color auto="1"/>
      </right>
      <top/>
      <bottom/>
      <diagonal/>
    </border>
    <border>
      <left style="thin">
        <color auto="1"/>
      </left>
      <right/>
      <top/>
      <bottom/>
      <diagonal/>
    </border>
    <border>
      <left style="thin">
        <color auto="1"/>
      </left>
      <right style="thin">
        <color auto="1"/>
      </right>
      <top/>
      <bottom/>
      <diagonal/>
    </border>
  </borders>
  <cellStyleXfs count="3">
    <xf numFmtId="0" fontId="0" fillId="0" borderId="0"/>
    <xf numFmtId="0" fontId="2" fillId="0" borderId="0"/>
    <xf numFmtId="0" fontId="6" fillId="0" borderId="0" applyNumberFormat="0" applyFill="0" applyBorder="0" applyAlignment="0" applyProtection="0"/>
  </cellStyleXfs>
  <cellXfs count="74">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 xfId="0" applyBorder="1"/>
    <xf numFmtId="0" fontId="0" fillId="5" borderId="0" xfId="0" applyFill="1" applyAlignment="1">
      <alignment horizontal="center"/>
    </xf>
    <xf numFmtId="0" fontId="0" fillId="4" borderId="0" xfId="0" applyFill="1" applyAlignment="1">
      <alignment horizontal="center"/>
    </xf>
    <xf numFmtId="0" fontId="0" fillId="5" borderId="1" xfId="0" applyFill="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0" fillId="4" borderId="2" xfId="0" applyFill="1" applyBorder="1" applyAlignment="1">
      <alignment horizontal="center"/>
    </xf>
    <xf numFmtId="0" fontId="0" fillId="0" borderId="2" xfId="0" applyBorder="1"/>
    <xf numFmtId="0" fontId="4" fillId="0" borderId="0" xfId="0" applyFont="1" applyAlignment="1">
      <alignment horizontal="center"/>
    </xf>
    <xf numFmtId="0" fontId="0" fillId="4" borderId="1" xfId="0" applyFill="1" applyBorder="1" applyAlignment="1">
      <alignment horizontal="center"/>
    </xf>
    <xf numFmtId="0" fontId="0" fillId="5" borderId="2" xfId="0" applyFill="1" applyBorder="1" applyAlignment="1">
      <alignment horizontal="center"/>
    </xf>
    <xf numFmtId="0" fontId="0" fillId="0" borderId="1" xfId="0" applyBorder="1" applyAlignment="1">
      <alignment horizontal="center"/>
    </xf>
    <xf numFmtId="0" fontId="1" fillId="3" borderId="2" xfId="0" applyFont="1" applyFill="1" applyBorder="1" applyAlignment="1">
      <alignment horizontal="center"/>
    </xf>
    <xf numFmtId="0" fontId="0" fillId="0" borderId="2" xfId="0" applyBorder="1" applyAlignment="1">
      <alignment horizontal="center"/>
    </xf>
    <xf numFmtId="0" fontId="1" fillId="3" borderId="1" xfId="0" applyFont="1" applyFill="1" applyBorder="1" applyAlignment="1">
      <alignment horizontal="center"/>
    </xf>
    <xf numFmtId="0" fontId="0" fillId="2" borderId="3" xfId="0" applyFill="1" applyBorder="1" applyAlignment="1">
      <alignment horizontal="center"/>
    </xf>
    <xf numFmtId="0" fontId="0" fillId="0" borderId="3" xfId="0" applyBorder="1" applyAlignment="1">
      <alignment horizontal="center"/>
    </xf>
    <xf numFmtId="0" fontId="5" fillId="0" borderId="0" xfId="1" applyFont="1"/>
    <xf numFmtId="0" fontId="0" fillId="4" borderId="3" xfId="0" applyFill="1" applyBorder="1" applyAlignment="1">
      <alignment horizontal="center"/>
    </xf>
    <xf numFmtId="0" fontId="4" fillId="0" borderId="3" xfId="0" applyFont="1" applyBorder="1" applyAlignment="1">
      <alignment horizontal="center"/>
    </xf>
    <xf numFmtId="0" fontId="0" fillId="0" borderId="0" xfId="0" applyAlignment="1">
      <alignment horizontal="left" vertical="top" wrapText="1"/>
    </xf>
    <xf numFmtId="0" fontId="0" fillId="0" borderId="0" xfId="0" applyAlignment="1">
      <alignment wrapText="1"/>
    </xf>
    <xf numFmtId="0" fontId="0" fillId="0" borderId="0" xfId="0" quotePrefix="1"/>
    <xf numFmtId="0" fontId="0" fillId="0" borderId="1" xfId="0" quotePrefix="1" applyBorder="1"/>
    <xf numFmtId="0" fontId="7" fillId="0" borderId="0" xfId="2" applyFont="1" applyAlignment="1">
      <alignment vertical="center"/>
    </xf>
    <xf numFmtId="0" fontId="8" fillId="0" borderId="0" xfId="0" applyFont="1"/>
    <xf numFmtId="0" fontId="0" fillId="0" borderId="0" xfId="0" applyAlignment="1">
      <alignment horizontal="center"/>
    </xf>
    <xf numFmtId="0" fontId="0" fillId="0" borderId="0" xfId="0" applyFill="1"/>
    <xf numFmtId="0" fontId="0" fillId="0" borderId="0" xfId="0"/>
    <xf numFmtId="0" fontId="0" fillId="0" borderId="1" xfId="0" applyBorder="1"/>
    <xf numFmtId="0" fontId="0" fillId="0" borderId="0" xfId="0" applyAlignment="1">
      <alignment horizontal="center"/>
    </xf>
    <xf numFmtId="0" fontId="0" fillId="0" borderId="0" xfId="0" applyFont="1" applyAlignment="1">
      <alignment wrapText="1"/>
    </xf>
    <xf numFmtId="0" fontId="0" fillId="7" borderId="0" xfId="0" applyFont="1" applyFill="1" applyAlignment="1">
      <alignment horizontal="left" vertical="top"/>
    </xf>
    <xf numFmtId="0" fontId="0" fillId="0" borderId="0" xfId="0" applyAlignment="1">
      <alignment horizontal="center"/>
    </xf>
    <xf numFmtId="0" fontId="9" fillId="0" borderId="0" xfId="0" applyFont="1" applyAlignment="1">
      <alignment wrapText="1"/>
    </xf>
    <xf numFmtId="0" fontId="0" fillId="0" borderId="0" xfId="0" applyFont="1" applyAlignment="1"/>
    <xf numFmtId="0" fontId="0" fillId="7" borderId="0" xfId="0" applyFont="1" applyFill="1" applyAlignment="1">
      <alignment wrapText="1"/>
    </xf>
    <xf numFmtId="0" fontId="4" fillId="0" borderId="0" xfId="0" applyFont="1" applyBorder="1" applyAlignment="1">
      <alignment horizontal="center"/>
    </xf>
    <xf numFmtId="0" fontId="3" fillId="0" borderId="0" xfId="0" applyFont="1" applyAlignment="1">
      <alignment vertical="top" wrapText="1"/>
    </xf>
    <xf numFmtId="0" fontId="0" fillId="0" borderId="0" xfId="0" applyAlignment="1">
      <alignment vertical="top" wrapText="1"/>
    </xf>
    <xf numFmtId="0" fontId="0" fillId="0" borderId="0" xfId="0" applyAlignment="1">
      <alignment horizontal="center" vertical="top" wrapText="1"/>
    </xf>
    <xf numFmtId="0" fontId="0" fillId="0" borderId="0" xfId="0" applyFont="1" applyAlignment="1">
      <alignment horizontal="center"/>
    </xf>
    <xf numFmtId="0" fontId="0" fillId="0" borderId="0" xfId="0" applyFont="1" applyAlignment="1">
      <alignment horizontal="left" vertical="top" wrapText="1"/>
    </xf>
    <xf numFmtId="0" fontId="0" fillId="0" borderId="0" xfId="0" applyFont="1" applyAlignment="1">
      <alignment vertical="center" wrapText="1"/>
    </xf>
    <xf numFmtId="0" fontId="0" fillId="0" borderId="0" xfId="0" applyFont="1"/>
    <xf numFmtId="0" fontId="0" fillId="0" borderId="0" xfId="0" applyFont="1" applyAlignment="1">
      <alignment vertical="center"/>
    </xf>
    <xf numFmtId="0" fontId="0" fillId="0" borderId="0" xfId="0"/>
    <xf numFmtId="0" fontId="0" fillId="0" borderId="0" xfId="0" applyAlignment="1">
      <alignment horizontal="center"/>
    </xf>
    <xf numFmtId="0" fontId="0" fillId="5" borderId="0" xfId="0" applyFill="1" applyBorder="1" applyAlignment="1">
      <alignment horizontal="center"/>
    </xf>
    <xf numFmtId="0" fontId="0" fillId="0" borderId="0" xfId="0" applyBorder="1"/>
    <xf numFmtId="0" fontId="0" fillId="0" borderId="0" xfId="0" applyAlignment="1">
      <alignment horizontal="center"/>
    </xf>
    <xf numFmtId="0" fontId="0" fillId="8" borderId="1" xfId="0" applyFill="1" applyBorder="1" applyAlignment="1">
      <alignment horizontal="center"/>
    </xf>
    <xf numFmtId="0" fontId="0" fillId="4" borderId="0" xfId="0" applyFill="1" applyBorder="1" applyAlignment="1">
      <alignment horizontal="center"/>
    </xf>
    <xf numFmtId="0" fontId="0" fillId="0" borderId="0" xfId="0"/>
    <xf numFmtId="0" fontId="0" fillId="0" borderId="1" xfId="0" applyBorder="1"/>
    <xf numFmtId="0" fontId="0" fillId="0" borderId="0" xfId="0" applyAlignment="1">
      <alignment horizontal="center"/>
    </xf>
    <xf numFmtId="0" fontId="1" fillId="3" borderId="0" xfId="0" applyFont="1" applyFill="1" applyAlignment="1">
      <alignment horizontal="center"/>
    </xf>
    <xf numFmtId="0" fontId="0" fillId="2" borderId="0" xfId="0" applyFill="1" applyAlignment="1">
      <alignment horizontal="center"/>
    </xf>
    <xf numFmtId="0" fontId="1" fillId="6" borderId="0" xfId="0" applyFont="1" applyFill="1" applyAlignment="1">
      <alignment horizontal="center"/>
    </xf>
    <xf numFmtId="0" fontId="0" fillId="5" borderId="2" xfId="0" applyFill="1" applyBorder="1" applyAlignment="1">
      <alignment horizontal="center"/>
    </xf>
    <xf numFmtId="0" fontId="0" fillId="5" borderId="0" xfId="0" applyFill="1" applyBorder="1" applyAlignment="1">
      <alignment horizontal="center"/>
    </xf>
    <xf numFmtId="0" fontId="0" fillId="4" borderId="0" xfId="0" applyFill="1" applyBorder="1" applyAlignment="1">
      <alignment horizontal="center"/>
    </xf>
    <xf numFmtId="0" fontId="0" fillId="4" borderId="1" xfId="0" applyFill="1" applyBorder="1" applyAlignment="1">
      <alignment horizontal="center"/>
    </xf>
    <xf numFmtId="0" fontId="0" fillId="0" borderId="0" xfId="0"/>
    <xf numFmtId="0" fontId="0" fillId="0" borderId="1" xfId="0" applyBorder="1"/>
    <xf numFmtId="0" fontId="0" fillId="0" borderId="0" xfId="0" applyAlignment="1">
      <alignment horizontal="center"/>
    </xf>
    <xf numFmtId="0" fontId="1" fillId="3" borderId="0" xfId="0" applyFont="1" applyFill="1"/>
    <xf numFmtId="0" fontId="0" fillId="2" borderId="1" xfId="0" applyFill="1" applyBorder="1" applyAlignment="1">
      <alignment horizontal="center"/>
    </xf>
    <xf numFmtId="0" fontId="1" fillId="6" borderId="1" xfId="0" applyFont="1" applyFill="1" applyBorder="1" applyAlignment="1">
      <alignment horizontal="center"/>
    </xf>
    <xf numFmtId="0" fontId="0" fillId="0" borderId="0" xfId="0" applyAlignment="1"/>
    <xf numFmtId="0" fontId="0" fillId="0" borderId="1" xfId="0" applyBorder="1" applyAlignment="1"/>
  </cellXfs>
  <cellStyles count="3">
    <cellStyle name="Hyperlink" xfId="2" builtinId="8"/>
    <cellStyle name="Normal" xfId="0" builtinId="0"/>
    <cellStyle name="Normal 2" xfId="1" xr:uid="{CE45571A-403C-488B-BFFE-6E95F637B0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40989-4EF8-4049-A8D6-8483E43FB081}">
  <dimension ref="A1:D45"/>
  <sheetViews>
    <sheetView topLeftCell="A34" workbookViewId="0">
      <selection activeCell="E1" sqref="E1:H1048576"/>
    </sheetView>
  </sheetViews>
  <sheetFormatPr defaultRowHeight="15"/>
  <cols>
    <col min="1" max="1" width="5.28515625" style="2" customWidth="1"/>
    <col min="2" max="2" width="81.85546875" customWidth="1"/>
    <col min="3" max="3" width="17.7109375" customWidth="1"/>
    <col min="4" max="4" width="16.28515625" style="33" customWidth="1"/>
  </cols>
  <sheetData>
    <row r="1" spans="1:4">
      <c r="A1" s="2" t="s">
        <v>4</v>
      </c>
      <c r="B1" s="1" t="s">
        <v>0</v>
      </c>
      <c r="C1" s="1" t="s">
        <v>1</v>
      </c>
      <c r="D1" s="33" t="s">
        <v>288</v>
      </c>
    </row>
    <row r="3" spans="1:4">
      <c r="A3" s="2">
        <v>1</v>
      </c>
      <c r="B3" t="s">
        <v>2</v>
      </c>
      <c r="C3" s="1" t="s">
        <v>3</v>
      </c>
      <c r="D3" s="33" t="s">
        <v>289</v>
      </c>
    </row>
    <row r="4" spans="1:4">
      <c r="A4" s="2">
        <v>2</v>
      </c>
      <c r="B4" t="s">
        <v>10</v>
      </c>
      <c r="C4" s="1" t="s">
        <v>11</v>
      </c>
      <c r="D4" s="33" t="s">
        <v>289</v>
      </c>
    </row>
    <row r="5" spans="1:4">
      <c r="A5" s="2">
        <v>3</v>
      </c>
      <c r="B5" t="s">
        <v>87</v>
      </c>
      <c r="C5" s="1" t="s">
        <v>3</v>
      </c>
      <c r="D5" s="33" t="s">
        <v>289</v>
      </c>
    </row>
    <row r="6" spans="1:4">
      <c r="A6" s="2">
        <v>4</v>
      </c>
      <c r="B6" t="s">
        <v>100</v>
      </c>
      <c r="C6" s="1" t="s">
        <v>3</v>
      </c>
      <c r="D6" s="33" t="s">
        <v>289</v>
      </c>
    </row>
    <row r="7" spans="1:4">
      <c r="A7" s="2">
        <v>5</v>
      </c>
      <c r="B7" t="s">
        <v>102</v>
      </c>
      <c r="C7" s="1" t="s">
        <v>3</v>
      </c>
      <c r="D7" s="33" t="s">
        <v>289</v>
      </c>
    </row>
    <row r="8" spans="1:4">
      <c r="A8" s="2">
        <v>6</v>
      </c>
      <c r="B8" t="s">
        <v>106</v>
      </c>
      <c r="C8" s="1" t="s">
        <v>3</v>
      </c>
      <c r="D8" s="33" t="s">
        <v>289</v>
      </c>
    </row>
    <row r="9" spans="1:4">
      <c r="A9" s="2">
        <v>7</v>
      </c>
      <c r="B9" t="s">
        <v>115</v>
      </c>
      <c r="C9" s="1" t="s">
        <v>11</v>
      </c>
      <c r="D9" s="33" t="s">
        <v>289</v>
      </c>
    </row>
    <row r="10" spans="1:4">
      <c r="A10" s="2">
        <v>8</v>
      </c>
      <c r="B10" s="31" t="s">
        <v>277</v>
      </c>
      <c r="C10" s="33" t="s">
        <v>137</v>
      </c>
      <c r="D10" s="33" t="s">
        <v>289</v>
      </c>
    </row>
    <row r="11" spans="1:4">
      <c r="A11" s="2">
        <v>9</v>
      </c>
      <c r="B11" t="s">
        <v>123</v>
      </c>
      <c r="C11" s="1" t="s">
        <v>11</v>
      </c>
      <c r="D11" s="33" t="s">
        <v>289</v>
      </c>
    </row>
    <row r="12" spans="1:4">
      <c r="A12" s="2">
        <v>10</v>
      </c>
      <c r="B12" t="s">
        <v>132</v>
      </c>
      <c r="C12" s="1" t="s">
        <v>133</v>
      </c>
      <c r="D12" s="33" t="s">
        <v>289</v>
      </c>
    </row>
    <row r="13" spans="1:4">
      <c r="A13" s="2">
        <v>11</v>
      </c>
      <c r="B13" t="s">
        <v>136</v>
      </c>
      <c r="C13" s="1" t="s">
        <v>137</v>
      </c>
      <c r="D13" s="33" t="s">
        <v>289</v>
      </c>
    </row>
    <row r="14" spans="1:4">
      <c r="A14" s="2">
        <v>12</v>
      </c>
      <c r="B14" t="s">
        <v>151</v>
      </c>
      <c r="C14" s="1" t="s">
        <v>11</v>
      </c>
      <c r="D14" s="33" t="s">
        <v>289</v>
      </c>
    </row>
    <row r="15" spans="1:4">
      <c r="A15" s="2">
        <v>13</v>
      </c>
      <c r="B15" t="s">
        <v>156</v>
      </c>
      <c r="C15" s="1" t="s">
        <v>11</v>
      </c>
      <c r="D15" s="33" t="s">
        <v>289</v>
      </c>
    </row>
    <row r="16" spans="1:4">
      <c r="A16" s="2">
        <v>14</v>
      </c>
      <c r="B16" t="s">
        <v>159</v>
      </c>
      <c r="C16" s="1" t="s">
        <v>11</v>
      </c>
      <c r="D16" s="33" t="s">
        <v>289</v>
      </c>
    </row>
    <row r="17" spans="1:4">
      <c r="A17" s="2">
        <v>15</v>
      </c>
      <c r="B17" s="27" t="s">
        <v>164</v>
      </c>
      <c r="C17" s="1" t="s">
        <v>137</v>
      </c>
      <c r="D17" s="33" t="s">
        <v>289</v>
      </c>
    </row>
    <row r="18" spans="1:4">
      <c r="A18" s="2">
        <v>16</v>
      </c>
      <c r="B18" t="s">
        <v>168</v>
      </c>
      <c r="C18" s="1" t="s">
        <v>137</v>
      </c>
      <c r="D18" s="33" t="s">
        <v>289</v>
      </c>
    </row>
    <row r="19" spans="1:4">
      <c r="A19" s="2">
        <v>17</v>
      </c>
      <c r="B19" t="s">
        <v>175</v>
      </c>
      <c r="C19" s="1" t="s">
        <v>137</v>
      </c>
      <c r="D19" s="33" t="s">
        <v>289</v>
      </c>
    </row>
    <row r="20" spans="1:4">
      <c r="A20" s="2">
        <v>18</v>
      </c>
      <c r="B20" t="s">
        <v>179</v>
      </c>
      <c r="C20" s="1" t="s">
        <v>180</v>
      </c>
      <c r="D20" s="33" t="s">
        <v>289</v>
      </c>
    </row>
    <row r="21" spans="1:4">
      <c r="A21" s="2">
        <v>19</v>
      </c>
      <c r="B21" s="28" t="s">
        <v>184</v>
      </c>
      <c r="C21" s="1" t="s">
        <v>180</v>
      </c>
      <c r="D21" s="33" t="s">
        <v>289</v>
      </c>
    </row>
    <row r="22" spans="1:4">
      <c r="A22" s="2">
        <v>20</v>
      </c>
      <c r="B22" t="s">
        <v>187</v>
      </c>
      <c r="C22" s="1" t="s">
        <v>137</v>
      </c>
      <c r="D22" s="33" t="s">
        <v>289</v>
      </c>
    </row>
    <row r="23" spans="1:4">
      <c r="A23" s="2">
        <v>21</v>
      </c>
      <c r="B23" t="s">
        <v>199</v>
      </c>
      <c r="C23" s="1" t="s">
        <v>200</v>
      </c>
      <c r="D23" s="33" t="s">
        <v>289</v>
      </c>
    </row>
    <row r="24" spans="1:4">
      <c r="A24" s="2">
        <v>22</v>
      </c>
      <c r="B24" t="s">
        <v>202</v>
      </c>
      <c r="C24" s="1" t="s">
        <v>3</v>
      </c>
      <c r="D24" s="33" t="s">
        <v>289</v>
      </c>
    </row>
    <row r="25" spans="1:4">
      <c r="A25" s="2">
        <v>23</v>
      </c>
      <c r="B25" t="s">
        <v>216</v>
      </c>
      <c r="C25" s="1" t="s">
        <v>217</v>
      </c>
      <c r="D25" s="33" t="s">
        <v>289</v>
      </c>
    </row>
    <row r="26" spans="1:4">
      <c r="A26" s="2">
        <v>24</v>
      </c>
      <c r="B26" s="31" t="s">
        <v>285</v>
      </c>
      <c r="C26" s="1" t="s">
        <v>137</v>
      </c>
      <c r="D26" s="33" t="s">
        <v>289</v>
      </c>
    </row>
    <row r="27" spans="1:4">
      <c r="A27" s="2">
        <v>25</v>
      </c>
      <c r="B27" t="s">
        <v>222</v>
      </c>
      <c r="C27" s="1" t="s">
        <v>3</v>
      </c>
      <c r="D27" s="33" t="s">
        <v>289</v>
      </c>
    </row>
    <row r="28" spans="1:4">
      <c r="A28" s="2">
        <v>26</v>
      </c>
      <c r="B28" t="s">
        <v>229</v>
      </c>
      <c r="C28" s="1" t="s">
        <v>137</v>
      </c>
      <c r="D28" s="33" t="s">
        <v>289</v>
      </c>
    </row>
    <row r="29" spans="1:4">
      <c r="A29" s="2">
        <v>27</v>
      </c>
      <c r="B29" t="s">
        <v>233</v>
      </c>
      <c r="C29" s="1" t="s">
        <v>137</v>
      </c>
      <c r="D29" s="33" t="s">
        <v>289</v>
      </c>
    </row>
    <row r="30" spans="1:4">
      <c r="A30" s="2">
        <v>28</v>
      </c>
      <c r="B30" t="s">
        <v>238</v>
      </c>
      <c r="C30" s="1" t="s">
        <v>11</v>
      </c>
      <c r="D30" s="33" t="s">
        <v>289</v>
      </c>
    </row>
    <row r="31" spans="1:4">
      <c r="A31" s="2">
        <v>29</v>
      </c>
      <c r="B31" t="s">
        <v>243</v>
      </c>
      <c r="C31" s="1" t="s">
        <v>3</v>
      </c>
      <c r="D31" s="33" t="s">
        <v>289</v>
      </c>
    </row>
    <row r="32" spans="1:4">
      <c r="A32" s="2">
        <v>30</v>
      </c>
      <c r="B32" s="30" t="s">
        <v>263</v>
      </c>
      <c r="C32" s="1" t="s">
        <v>137</v>
      </c>
      <c r="D32" s="33" t="s">
        <v>289</v>
      </c>
    </row>
    <row r="33" spans="1:4">
      <c r="A33" s="2">
        <v>31</v>
      </c>
      <c r="B33" t="s">
        <v>274</v>
      </c>
      <c r="C33" s="29" t="s">
        <v>137</v>
      </c>
      <c r="D33" s="33" t="s">
        <v>289</v>
      </c>
    </row>
    <row r="34" spans="1:4">
      <c r="A34" s="2">
        <v>32</v>
      </c>
      <c r="B34" t="s">
        <v>290</v>
      </c>
      <c r="C34" s="33" t="s">
        <v>137</v>
      </c>
      <c r="D34" s="33" t="s">
        <v>291</v>
      </c>
    </row>
    <row r="35" spans="1:4">
      <c r="A35" s="2">
        <v>33</v>
      </c>
      <c r="B35" t="s">
        <v>296</v>
      </c>
      <c r="C35" s="33" t="s">
        <v>11</v>
      </c>
      <c r="D35" s="33" t="s">
        <v>291</v>
      </c>
    </row>
    <row r="36" spans="1:4">
      <c r="A36" s="2">
        <v>34</v>
      </c>
      <c r="B36" t="s">
        <v>298</v>
      </c>
      <c r="C36" s="33" t="s">
        <v>11</v>
      </c>
      <c r="D36" s="33" t="s">
        <v>291</v>
      </c>
    </row>
    <row r="37" spans="1:4">
      <c r="A37" s="2">
        <v>35</v>
      </c>
      <c r="B37" t="s">
        <v>304</v>
      </c>
      <c r="C37" s="33" t="s">
        <v>3</v>
      </c>
      <c r="D37" s="33" t="s">
        <v>291</v>
      </c>
    </row>
    <row r="38" spans="1:4">
      <c r="A38" s="2">
        <v>36</v>
      </c>
      <c r="B38" t="s">
        <v>307</v>
      </c>
      <c r="C38" s="36" t="s">
        <v>3</v>
      </c>
      <c r="D38" s="33" t="s">
        <v>291</v>
      </c>
    </row>
    <row r="39" spans="1:4">
      <c r="A39" s="2">
        <v>37</v>
      </c>
      <c r="B39" t="s">
        <v>310</v>
      </c>
      <c r="C39" s="36" t="s">
        <v>3</v>
      </c>
      <c r="D39" s="33" t="s">
        <v>291</v>
      </c>
    </row>
    <row r="40" spans="1:4">
      <c r="A40" s="2">
        <v>38</v>
      </c>
      <c r="B40" t="s">
        <v>314</v>
      </c>
      <c r="C40" s="36" t="s">
        <v>11</v>
      </c>
      <c r="D40" s="33" t="s">
        <v>291</v>
      </c>
    </row>
    <row r="41" spans="1:4">
      <c r="A41" s="2">
        <v>39</v>
      </c>
      <c r="B41" t="s">
        <v>318</v>
      </c>
      <c r="C41" s="36" t="s">
        <v>3</v>
      </c>
      <c r="D41" s="33" t="s">
        <v>291</v>
      </c>
    </row>
    <row r="42" spans="1:4">
      <c r="A42" s="2">
        <v>40</v>
      </c>
      <c r="B42" t="s">
        <v>325</v>
      </c>
      <c r="C42" s="36" t="s">
        <v>3</v>
      </c>
      <c r="D42" s="33" t="s">
        <v>291</v>
      </c>
    </row>
    <row r="43" spans="1:4">
      <c r="A43" s="2">
        <v>41</v>
      </c>
      <c r="B43" t="s">
        <v>329</v>
      </c>
      <c r="C43" s="36" t="s">
        <v>11</v>
      </c>
      <c r="D43" s="33" t="s">
        <v>291</v>
      </c>
    </row>
    <row r="44" spans="1:4">
      <c r="A44" s="2">
        <v>42</v>
      </c>
      <c r="B44" t="s">
        <v>333</v>
      </c>
      <c r="C44" s="36" t="s">
        <v>11</v>
      </c>
      <c r="D44" s="33" t="s">
        <v>291</v>
      </c>
    </row>
    <row r="45" spans="1:4">
      <c r="A45" s="2">
        <v>43</v>
      </c>
      <c r="B45" t="s">
        <v>337</v>
      </c>
      <c r="C45" s="36" t="s">
        <v>11</v>
      </c>
      <c r="D45" s="33" t="s">
        <v>291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F21D6-B3A1-42CD-BBA5-5AA1833E98C3}">
  <dimension ref="A1:G78"/>
  <sheetViews>
    <sheetView workbookViewId="0">
      <selection activeCell="H1" sqref="H1:I1048576"/>
    </sheetView>
  </sheetViews>
  <sheetFormatPr defaultRowHeight="15"/>
  <cols>
    <col min="1" max="1" width="5.85546875" style="1" customWidth="1"/>
    <col min="2" max="2" width="4.85546875" style="1" customWidth="1"/>
    <col min="3" max="3" width="111" customWidth="1"/>
    <col min="4" max="4" width="9" style="1"/>
    <col min="5" max="5" width="24.85546875" style="47" customWidth="1"/>
    <col min="6" max="6" width="19.42578125" style="42" customWidth="1"/>
    <col min="7" max="7" width="25.28515625" style="36" customWidth="1"/>
  </cols>
  <sheetData>
    <row r="1" spans="1:7">
      <c r="A1" s="1" t="s">
        <v>5</v>
      </c>
      <c r="B1" s="1" t="s">
        <v>4</v>
      </c>
      <c r="C1" s="1" t="s">
        <v>6</v>
      </c>
      <c r="D1" s="1" t="s">
        <v>7</v>
      </c>
      <c r="E1" s="44" t="s">
        <v>28</v>
      </c>
      <c r="F1" s="43" t="s">
        <v>8</v>
      </c>
      <c r="G1" s="36" t="s">
        <v>1</v>
      </c>
    </row>
    <row r="3" spans="1:7" ht="14.85" customHeight="1">
      <c r="A3" s="1">
        <v>1</v>
      </c>
      <c r="B3" s="1">
        <f>Venues!A3</f>
        <v>1</v>
      </c>
      <c r="C3" s="20" t="s">
        <v>85</v>
      </c>
      <c r="D3" s="1">
        <v>2023</v>
      </c>
      <c r="E3" s="45" t="s">
        <v>88</v>
      </c>
      <c r="F3" s="42" t="s">
        <v>12</v>
      </c>
      <c r="G3" s="36" t="str" cm="1">
        <f t="array" aca="1" ref="G3" ca="1">INDIRECT("Venues!C" &amp; MATCH(B3,Venues!A:A,0))</f>
        <v>IEEE</v>
      </c>
    </row>
    <row r="4" spans="1:7" ht="14.85" customHeight="1">
      <c r="A4" s="1">
        <v>2</v>
      </c>
      <c r="B4" s="1">
        <f>Venues!A4</f>
        <v>2</v>
      </c>
      <c r="C4" t="s">
        <v>9</v>
      </c>
      <c r="D4" s="1">
        <v>2023</v>
      </c>
      <c r="E4" s="45" t="s">
        <v>89</v>
      </c>
      <c r="F4" s="42" t="s">
        <v>13</v>
      </c>
      <c r="G4" s="36" t="str" cm="1">
        <f t="array" aca="1" ref="G4" ca="1">INDIRECT("Venues!C" &amp; MATCH(B4,Venues!A:A,0))</f>
        <v>Springer</v>
      </c>
    </row>
    <row r="5" spans="1:7" ht="14.85" customHeight="1">
      <c r="A5" s="1">
        <v>3</v>
      </c>
      <c r="B5" s="1">
        <f>Venues!A5</f>
        <v>3</v>
      </c>
      <c r="C5" t="s">
        <v>86</v>
      </c>
      <c r="D5" s="1">
        <v>2022</v>
      </c>
      <c r="E5" s="45" t="s">
        <v>90</v>
      </c>
      <c r="F5" s="42" t="s">
        <v>91</v>
      </c>
      <c r="G5" s="36" t="str" cm="1">
        <f t="array" aca="1" ref="G5" ca="1">INDIRECT("Venues!C" &amp; MATCH(B5,Venues!A:A,0))</f>
        <v>IEEE</v>
      </c>
    </row>
    <row r="6" spans="1:7" ht="14.85" customHeight="1">
      <c r="A6" s="1">
        <v>4</v>
      </c>
      <c r="B6" s="1">
        <f>Venues!A3</f>
        <v>1</v>
      </c>
      <c r="C6" t="s">
        <v>92</v>
      </c>
      <c r="D6" s="1">
        <v>2018</v>
      </c>
      <c r="E6" s="45" t="s">
        <v>93</v>
      </c>
      <c r="F6" s="42" t="s">
        <v>94</v>
      </c>
      <c r="G6" s="36" t="str" cm="1">
        <f t="array" aca="1" ref="G6" ca="1">INDIRECT("Venues!C" &amp; MATCH(B6,Venues!A:A,0))</f>
        <v>IEEE</v>
      </c>
    </row>
    <row r="7" spans="1:7" ht="14.85" customHeight="1">
      <c r="A7" s="1">
        <v>5</v>
      </c>
      <c r="B7" s="1">
        <f>Venues!A3</f>
        <v>1</v>
      </c>
      <c r="C7" t="s">
        <v>95</v>
      </c>
      <c r="D7" s="1">
        <v>2020</v>
      </c>
      <c r="E7" s="35" t="s">
        <v>97</v>
      </c>
      <c r="F7" s="41" t="s">
        <v>96</v>
      </c>
      <c r="G7" s="36" t="str" cm="1">
        <f t="array" aca="1" ref="G7" ca="1">INDIRECT("Venues!C" &amp; MATCH(B7,Venues!A:A,0))</f>
        <v>IEEE</v>
      </c>
    </row>
    <row r="8" spans="1:7" ht="14.85" customHeight="1">
      <c r="A8" s="1">
        <v>6</v>
      </c>
      <c r="B8" s="1">
        <f>Venues!A6</f>
        <v>4</v>
      </c>
      <c r="C8" t="s">
        <v>98</v>
      </c>
      <c r="D8" s="1">
        <v>2021</v>
      </c>
      <c r="E8" s="46"/>
      <c r="F8" s="42" t="s">
        <v>101</v>
      </c>
      <c r="G8" s="36" t="str" cm="1">
        <f t="array" aca="1" ref="G8" ca="1">INDIRECT("Venues!C" &amp; MATCH(B8,Venues!A:A,0))</f>
        <v>IEEE</v>
      </c>
    </row>
    <row r="9" spans="1:7" ht="14.85" customHeight="1">
      <c r="A9" s="1">
        <v>7</v>
      </c>
      <c r="B9" s="1">
        <f>Venues!A7</f>
        <v>5</v>
      </c>
      <c r="C9" s="56" t="s">
        <v>99</v>
      </c>
      <c r="D9" s="1">
        <v>2019</v>
      </c>
      <c r="E9" s="34" t="s">
        <v>103</v>
      </c>
      <c r="F9" s="41" t="s">
        <v>104</v>
      </c>
      <c r="G9" s="36" t="str" cm="1">
        <f t="array" aca="1" ref="G9" ca="1">INDIRECT("Venues!C" &amp; MATCH(B9,Venues!A:A,0))</f>
        <v>IEEE</v>
      </c>
    </row>
    <row r="10" spans="1:7" ht="14.85" customHeight="1">
      <c r="A10" s="1">
        <v>8</v>
      </c>
      <c r="B10" s="1">
        <f>Venues!A8</f>
        <v>6</v>
      </c>
      <c r="C10" t="s">
        <v>105</v>
      </c>
      <c r="D10" s="1">
        <v>2019</v>
      </c>
      <c r="E10" s="46" t="s">
        <v>107</v>
      </c>
      <c r="F10" s="42" t="s">
        <v>108</v>
      </c>
      <c r="G10" s="36" t="str" cm="1">
        <f t="array" aca="1" ref="G10" ca="1">INDIRECT("Venues!C" &amp; MATCH(B10,Venues!A:A,0))</f>
        <v>IEEE</v>
      </c>
    </row>
    <row r="11" spans="1:7" ht="14.85" customHeight="1">
      <c r="A11" s="1">
        <v>9</v>
      </c>
      <c r="B11" s="1">
        <f>Venues!A8</f>
        <v>6</v>
      </c>
      <c r="C11" t="s">
        <v>109</v>
      </c>
      <c r="D11" s="1">
        <v>2022</v>
      </c>
      <c r="E11" s="48" t="s">
        <v>110</v>
      </c>
      <c r="F11" s="41" t="s">
        <v>111</v>
      </c>
      <c r="G11" s="36" t="str" cm="1">
        <f t="array" aca="1" ref="G11" ca="1">INDIRECT("Venues!C" &amp; MATCH(B11,Venues!A:A,0))</f>
        <v>IEEE</v>
      </c>
    </row>
    <row r="12" spans="1:7" ht="14.85" customHeight="1">
      <c r="A12" s="1">
        <v>10</v>
      </c>
      <c r="B12" s="1">
        <f>Venues!A9</f>
        <v>7</v>
      </c>
      <c r="C12" t="s">
        <v>112</v>
      </c>
      <c r="D12" s="1">
        <v>2023</v>
      </c>
      <c r="E12" s="46" t="s">
        <v>113</v>
      </c>
      <c r="F12" s="41" t="s">
        <v>114</v>
      </c>
      <c r="G12" s="36" t="str" cm="1">
        <f t="array" aca="1" ref="G12" ca="1">INDIRECT("Venues!C" &amp; MATCH(B12,Venues!A:A,0))</f>
        <v>Springer</v>
      </c>
    </row>
    <row r="13" spans="1:7" ht="14.85" customHeight="1">
      <c r="A13" s="1">
        <v>11</v>
      </c>
      <c r="B13" s="1">
        <f>Venues!A10</f>
        <v>8</v>
      </c>
      <c r="C13" t="s">
        <v>275</v>
      </c>
      <c r="D13" s="1">
        <v>2024</v>
      </c>
      <c r="E13" s="34" t="s">
        <v>276</v>
      </c>
      <c r="F13" s="41" t="s">
        <v>344</v>
      </c>
      <c r="G13" s="36" t="str" cm="1">
        <f t="array" aca="1" ref="G13" ca="1">INDIRECT("Venues!C" &amp; MATCH(B13,Venues!A:A,0))</f>
        <v>Elsevier</v>
      </c>
    </row>
    <row r="14" spans="1:7" ht="14.85" customHeight="1">
      <c r="A14" s="1">
        <v>12</v>
      </c>
      <c r="B14" s="1">
        <f>Venues!A9</f>
        <v>7</v>
      </c>
      <c r="C14" t="s">
        <v>116</v>
      </c>
      <c r="D14" s="1">
        <v>2018</v>
      </c>
      <c r="E14" s="34" t="s">
        <v>117</v>
      </c>
      <c r="F14" s="42" t="s">
        <v>118</v>
      </c>
      <c r="G14" s="36" t="str" cm="1">
        <f t="array" aca="1" ref="G14" ca="1">INDIRECT("Venues!C" &amp; MATCH(B14,Venues!A:A,0))</f>
        <v>Springer</v>
      </c>
    </row>
    <row r="15" spans="1:7" ht="14.85" customHeight="1">
      <c r="A15" s="1">
        <v>13</v>
      </c>
      <c r="B15" s="1">
        <f>Venues!A9</f>
        <v>7</v>
      </c>
      <c r="C15" s="24" t="s">
        <v>119</v>
      </c>
      <c r="D15" s="1">
        <v>2022</v>
      </c>
      <c r="E15" s="34" t="s">
        <v>120</v>
      </c>
      <c r="F15" s="42" t="s">
        <v>121</v>
      </c>
      <c r="G15" s="36" t="str" cm="1">
        <f t="array" aca="1" ref="G15" ca="1">INDIRECT("Venues!C" &amp; MATCH(B15,Venues!A:A,0))</f>
        <v>Springer</v>
      </c>
    </row>
    <row r="16" spans="1:7" ht="14.85" customHeight="1">
      <c r="A16" s="1">
        <v>14</v>
      </c>
      <c r="B16" s="1">
        <f>Venues!A11</f>
        <v>9</v>
      </c>
      <c r="C16" t="s">
        <v>122</v>
      </c>
      <c r="D16" s="1">
        <v>2018</v>
      </c>
      <c r="E16" s="37" t="s">
        <v>124</v>
      </c>
      <c r="F16" s="42" t="s">
        <v>125</v>
      </c>
      <c r="G16" s="36" t="str" cm="1">
        <f t="array" aca="1" ref="G16" ca="1">INDIRECT("Venues!C" &amp; MATCH(B16,Venues!A:A,0))</f>
        <v>Springer</v>
      </c>
    </row>
    <row r="17" spans="1:7" ht="14.85" customHeight="1">
      <c r="A17" s="1">
        <v>15</v>
      </c>
      <c r="B17" s="1">
        <f>Venues!A9</f>
        <v>7</v>
      </c>
      <c r="C17" t="s">
        <v>126</v>
      </c>
      <c r="D17" s="1">
        <v>2019</v>
      </c>
      <c r="E17" s="48"/>
      <c r="F17" s="42" t="s">
        <v>127</v>
      </c>
      <c r="G17" s="36" t="str" cm="1">
        <f t="array" aca="1" ref="G17" ca="1">INDIRECT("Venues!C" &amp; MATCH(B17,Venues!A:A,0))</f>
        <v>Springer</v>
      </c>
    </row>
    <row r="18" spans="1:7" ht="14.85" customHeight="1">
      <c r="A18" s="1">
        <v>16</v>
      </c>
      <c r="B18" s="1">
        <f>Venues!A5</f>
        <v>3</v>
      </c>
      <c r="C18" t="s">
        <v>128</v>
      </c>
      <c r="D18" s="1">
        <v>2020</v>
      </c>
      <c r="E18" s="34" t="s">
        <v>129</v>
      </c>
      <c r="F18" s="42" t="s">
        <v>130</v>
      </c>
      <c r="G18" s="36" t="str" cm="1">
        <f t="array" aca="1" ref="G18" ca="1">INDIRECT("Venues!C" &amp; MATCH(B18,Venues!A:A,0))</f>
        <v>IEEE</v>
      </c>
    </row>
    <row r="19" spans="1:7" ht="14.85" customHeight="1">
      <c r="A19" s="1">
        <v>17</v>
      </c>
      <c r="B19" s="1">
        <f>Venues!A12</f>
        <v>10</v>
      </c>
      <c r="C19" s="31" t="s">
        <v>131</v>
      </c>
      <c r="D19" s="1">
        <v>2018</v>
      </c>
      <c r="E19" s="48" t="s">
        <v>134</v>
      </c>
      <c r="F19" s="42" t="s">
        <v>135</v>
      </c>
      <c r="G19" s="36" t="str" cm="1">
        <f t="array" aca="1" ref="G19" ca="1">INDIRECT("Venues!C" &amp; MATCH(B19,Venues!A:A,0))</f>
        <v>IGI Global</v>
      </c>
    </row>
    <row r="20" spans="1:7" ht="14.85" customHeight="1">
      <c r="A20" s="1">
        <v>18</v>
      </c>
      <c r="B20" s="1">
        <f>Venues!A3</f>
        <v>1</v>
      </c>
      <c r="C20" s="56" t="s">
        <v>278</v>
      </c>
      <c r="D20" s="1">
        <v>2024</v>
      </c>
      <c r="E20" s="39" t="s">
        <v>280</v>
      </c>
      <c r="F20" s="42" t="s">
        <v>279</v>
      </c>
      <c r="G20" s="36" t="str" cm="1">
        <f t="array" aca="1" ref="G20" ca="1">INDIRECT("Venues!C" &amp; MATCH(B20,Venues!A:A,0))</f>
        <v>IEEE</v>
      </c>
    </row>
    <row r="21" spans="1:7" ht="14.85" customHeight="1">
      <c r="A21" s="1">
        <v>19</v>
      </c>
      <c r="B21" s="1">
        <f>Venues!A13</f>
        <v>11</v>
      </c>
      <c r="C21" t="s">
        <v>138</v>
      </c>
      <c r="D21" s="1">
        <v>2018</v>
      </c>
      <c r="E21" s="48" t="s">
        <v>139</v>
      </c>
      <c r="F21" s="41" t="s">
        <v>140</v>
      </c>
      <c r="G21" s="36" t="str" cm="1">
        <f t="array" aca="1" ref="G21" ca="1">INDIRECT("Venues!C" &amp; MATCH(B21,Venues!A:A,0))</f>
        <v>Elsevier</v>
      </c>
    </row>
    <row r="22" spans="1:7" ht="14.85" customHeight="1">
      <c r="A22" s="1">
        <v>20</v>
      </c>
      <c r="B22" s="1">
        <f>Venues!A13</f>
        <v>11</v>
      </c>
      <c r="C22" t="s">
        <v>141</v>
      </c>
      <c r="D22" s="1">
        <v>2022</v>
      </c>
      <c r="E22" s="38" t="s">
        <v>142</v>
      </c>
      <c r="F22" s="42" t="s">
        <v>143</v>
      </c>
      <c r="G22" s="36" t="str" cm="1">
        <f t="array" aca="1" ref="G22" ca="1">INDIRECT("Venues!C" &amp; MATCH(B22,Venues!A:A,0))</f>
        <v>Elsevier</v>
      </c>
    </row>
    <row r="23" spans="1:7" ht="14.85" customHeight="1">
      <c r="A23" s="1">
        <v>21</v>
      </c>
      <c r="B23" s="1">
        <f>Venues!A13</f>
        <v>11</v>
      </c>
      <c r="C23" s="31" t="s">
        <v>144</v>
      </c>
      <c r="D23" s="1">
        <v>2015</v>
      </c>
      <c r="E23" s="39" t="s">
        <v>148</v>
      </c>
      <c r="F23" s="42" t="s">
        <v>147</v>
      </c>
      <c r="G23" s="36" t="str" cm="1">
        <f t="array" aca="1" ref="G23" ca="1">INDIRECT("Venues!C" &amp; MATCH(B23,Venues!A:A,0))</f>
        <v>Elsevier</v>
      </c>
    </row>
    <row r="24" spans="1:7" ht="14.85" customHeight="1">
      <c r="A24" s="1" t="s">
        <v>146</v>
      </c>
      <c r="E24" s="34" t="s">
        <v>145</v>
      </c>
    </row>
    <row r="25" spans="1:7" ht="14.85" customHeight="1">
      <c r="A25" s="1">
        <v>22</v>
      </c>
      <c r="B25" s="1">
        <f>Venues!A14</f>
        <v>12</v>
      </c>
      <c r="C25" s="56" t="s">
        <v>149</v>
      </c>
      <c r="D25" s="1">
        <v>2021</v>
      </c>
      <c r="E25" s="34" t="s">
        <v>150</v>
      </c>
      <c r="F25" s="41" t="s">
        <v>346</v>
      </c>
      <c r="G25" s="36" t="str" cm="1">
        <f t="array" aca="1" ref="G25" ca="1">INDIRECT("Venues!C" &amp; MATCH(B25,Venues!A:A,0))</f>
        <v>Springer</v>
      </c>
    </row>
    <row r="26" spans="1:7" ht="14.85" customHeight="1">
      <c r="A26" s="1">
        <v>23</v>
      </c>
      <c r="B26" s="1">
        <f>Venues!A13</f>
        <v>11</v>
      </c>
      <c r="C26" t="s">
        <v>152</v>
      </c>
      <c r="D26" s="1">
        <v>2019</v>
      </c>
      <c r="E26" s="34" t="s">
        <v>153</v>
      </c>
      <c r="F26" s="42" t="s">
        <v>154</v>
      </c>
      <c r="G26" s="36" t="str" cm="1">
        <f t="array" aca="1" ref="G26" ca="1">INDIRECT("Venues!C" &amp; MATCH(B26,Venues!A:A,0))</f>
        <v>Elsevier</v>
      </c>
    </row>
    <row r="27" spans="1:7" ht="14.85" customHeight="1">
      <c r="A27" s="1">
        <v>24</v>
      </c>
      <c r="B27" s="1">
        <f>Venues!A15</f>
        <v>13</v>
      </c>
      <c r="C27" t="s">
        <v>155</v>
      </c>
      <c r="D27" s="1">
        <v>2022</v>
      </c>
      <c r="E27" s="34" t="s">
        <v>157</v>
      </c>
      <c r="F27" s="41" t="s">
        <v>158</v>
      </c>
      <c r="G27" s="36" t="str" cm="1">
        <f t="array" aca="1" ref="G27" ca="1">INDIRECT("Venues!C" &amp; MATCH(B27,Venues!A:A,0))</f>
        <v>Springer</v>
      </c>
    </row>
    <row r="28" spans="1:7" ht="14.85" customHeight="1">
      <c r="A28" s="1">
        <v>25</v>
      </c>
      <c r="B28" s="1">
        <f>Venues!A16</f>
        <v>14</v>
      </c>
      <c r="C28" t="s">
        <v>160</v>
      </c>
      <c r="D28" s="1">
        <v>2018</v>
      </c>
      <c r="E28" s="34" t="s">
        <v>161</v>
      </c>
      <c r="F28" s="41" t="s">
        <v>162</v>
      </c>
      <c r="G28" s="36" t="str" cm="1">
        <f t="array" aca="1" ref="G28" ca="1">INDIRECT("Venues!C" &amp; MATCH(B28,Venues!A:A,0))</f>
        <v>Springer</v>
      </c>
    </row>
    <row r="29" spans="1:7" ht="14.85" customHeight="1">
      <c r="A29" s="1">
        <v>26</v>
      </c>
      <c r="B29" s="1">
        <f>Venues!A17</f>
        <v>15</v>
      </c>
      <c r="C29" t="s">
        <v>163</v>
      </c>
      <c r="D29" s="1">
        <v>2021</v>
      </c>
      <c r="E29" s="34" t="s">
        <v>165</v>
      </c>
      <c r="F29" s="42" t="s">
        <v>166</v>
      </c>
      <c r="G29" s="36" t="str" cm="1">
        <f t="array" aca="1" ref="G29" ca="1">INDIRECT("Venues!C" &amp; MATCH(B29,Venues!A:A,0))</f>
        <v>Elsevier</v>
      </c>
    </row>
    <row r="30" spans="1:7" ht="14.85" customHeight="1">
      <c r="A30" s="1">
        <v>27</v>
      </c>
      <c r="B30" s="1">
        <f>Venues!A18</f>
        <v>16</v>
      </c>
      <c r="C30" t="s">
        <v>167</v>
      </c>
      <c r="D30" s="1">
        <v>2017</v>
      </c>
      <c r="E30" s="34" t="s">
        <v>169</v>
      </c>
      <c r="F30" s="42" t="s">
        <v>170</v>
      </c>
      <c r="G30" s="36" t="str" cm="1">
        <f t="array" aca="1" ref="G30" ca="1">INDIRECT("Venues!C" &amp; MATCH(B30,Venues!A:A,0))</f>
        <v>Elsevier</v>
      </c>
    </row>
    <row r="31" spans="1:7" ht="14.85" customHeight="1">
      <c r="A31" s="1">
        <v>28</v>
      </c>
      <c r="B31" s="1">
        <f>Venues!A13</f>
        <v>11</v>
      </c>
      <c r="C31" t="s">
        <v>171</v>
      </c>
      <c r="D31" s="1">
        <v>2017</v>
      </c>
      <c r="E31" s="34" t="s">
        <v>172</v>
      </c>
      <c r="F31" s="42" t="s">
        <v>173</v>
      </c>
      <c r="G31" s="36" t="str" cm="1">
        <f t="array" aca="1" ref="G31" ca="1">INDIRECT("Venues!C" &amp; MATCH(B31,Venues!A:A,0))</f>
        <v>Elsevier</v>
      </c>
    </row>
    <row r="32" spans="1:7" ht="14.85" customHeight="1">
      <c r="A32" s="1">
        <v>29</v>
      </c>
      <c r="B32" s="1">
        <f>Venues!A19</f>
        <v>17</v>
      </c>
      <c r="C32" t="s">
        <v>174</v>
      </c>
      <c r="D32" s="1">
        <v>2022</v>
      </c>
      <c r="E32" s="34" t="s">
        <v>176</v>
      </c>
      <c r="F32" s="42" t="s">
        <v>177</v>
      </c>
      <c r="G32" s="36" t="str" cm="1">
        <f t="array" aca="1" ref="G32" ca="1">INDIRECT("Venues!C" &amp; MATCH(B32,Venues!A:A,0))</f>
        <v>Elsevier</v>
      </c>
    </row>
    <row r="33" spans="1:7" ht="14.85" customHeight="1">
      <c r="A33" s="1">
        <v>30</v>
      </c>
      <c r="B33" s="1">
        <f>Venues!A20</f>
        <v>18</v>
      </c>
      <c r="C33" t="s">
        <v>178</v>
      </c>
      <c r="D33" s="1">
        <v>2022</v>
      </c>
      <c r="E33" s="34" t="s">
        <v>181</v>
      </c>
      <c r="F33" s="42" t="s">
        <v>182</v>
      </c>
      <c r="G33" s="36" t="str" cm="1">
        <f t="array" aca="1" ref="G33" ca="1">INDIRECT("Venues!C" &amp; MATCH(B33,Venues!A:A,0))</f>
        <v>Wiley</v>
      </c>
    </row>
    <row r="34" spans="1:7" ht="14.85" customHeight="1">
      <c r="A34" s="1">
        <v>31</v>
      </c>
      <c r="B34" s="1">
        <f>Venues!A21</f>
        <v>19</v>
      </c>
      <c r="C34" t="s">
        <v>183</v>
      </c>
      <c r="D34" s="1">
        <v>2018</v>
      </c>
      <c r="F34" s="42" t="s">
        <v>185</v>
      </c>
      <c r="G34" s="36" t="str" cm="1">
        <f t="array" aca="1" ref="G34" ca="1">INDIRECT("Venues!C" &amp; MATCH(B34,Venues!A:A,0))</f>
        <v>Wiley</v>
      </c>
    </row>
    <row r="35" spans="1:7" ht="14.85" customHeight="1">
      <c r="A35" s="1">
        <v>32</v>
      </c>
      <c r="B35" s="1">
        <f>Venues!A22</f>
        <v>20</v>
      </c>
      <c r="C35" t="s">
        <v>186</v>
      </c>
      <c r="D35" s="1">
        <v>2023</v>
      </c>
      <c r="E35" s="37" t="s">
        <v>188</v>
      </c>
      <c r="F35" s="42" t="s">
        <v>189</v>
      </c>
      <c r="G35" s="36" t="str" cm="1">
        <f t="array" aca="1" ref="G35" ca="1">INDIRECT("Venues!C" &amp; MATCH(B35,Venues!A:A,0))</f>
        <v>Elsevier</v>
      </c>
    </row>
    <row r="36" spans="1:7" ht="14.85" customHeight="1">
      <c r="A36" s="1">
        <v>33</v>
      </c>
      <c r="B36" s="1">
        <f>Venues!A15</f>
        <v>13</v>
      </c>
      <c r="C36" t="s">
        <v>190</v>
      </c>
      <c r="D36" s="1">
        <v>2022</v>
      </c>
      <c r="E36" s="34" t="s">
        <v>191</v>
      </c>
      <c r="F36" s="41" t="s">
        <v>192</v>
      </c>
      <c r="G36" s="36" t="str" cm="1">
        <f t="array" aca="1" ref="G36" ca="1">INDIRECT("Venues!C" &amp; MATCH(B36,Venues!A:A,0))</f>
        <v>Springer</v>
      </c>
    </row>
    <row r="37" spans="1:7" ht="14.85" customHeight="1">
      <c r="A37" s="1">
        <v>34</v>
      </c>
      <c r="B37" s="1">
        <f>Venues!A15</f>
        <v>13</v>
      </c>
      <c r="C37" t="s">
        <v>193</v>
      </c>
      <c r="D37" s="1">
        <v>2024</v>
      </c>
      <c r="E37" s="34" t="s">
        <v>194</v>
      </c>
      <c r="F37" s="41" t="s">
        <v>195</v>
      </c>
      <c r="G37" s="36" t="str" cm="1">
        <f t="array" aca="1" ref="G37" ca="1">INDIRECT("Venues!C" &amp; MATCH(B37,Venues!A:A,0))</f>
        <v>Springer</v>
      </c>
    </row>
    <row r="38" spans="1:7" ht="14.85" customHeight="1">
      <c r="A38" s="1">
        <v>35</v>
      </c>
      <c r="B38" s="1">
        <f>Venues!A15</f>
        <v>13</v>
      </c>
      <c r="C38" t="s">
        <v>196</v>
      </c>
      <c r="D38" s="1">
        <v>2014</v>
      </c>
      <c r="F38" s="41" t="s">
        <v>197</v>
      </c>
      <c r="G38" s="36" t="str" cm="1">
        <f t="array" aca="1" ref="G38" ca="1">INDIRECT("Venues!C" &amp; MATCH(B38,Venues!A:A,0))</f>
        <v>Springer</v>
      </c>
    </row>
    <row r="39" spans="1:7" ht="14.85" customHeight="1">
      <c r="A39" s="1">
        <v>36</v>
      </c>
      <c r="B39" s="1">
        <f>Venues!A32</f>
        <v>30</v>
      </c>
      <c r="C39" t="s">
        <v>262</v>
      </c>
      <c r="D39" s="1">
        <v>2024</v>
      </c>
      <c r="E39" s="34" t="s">
        <v>283</v>
      </c>
      <c r="F39" s="41" t="s">
        <v>281</v>
      </c>
      <c r="G39" s="36" t="str" cm="1">
        <f t="array" aca="1" ref="G39" ca="1">INDIRECT("Venues!C" &amp; MATCH(B39,Venues!A:A,0))</f>
        <v>Elsevier</v>
      </c>
    </row>
    <row r="40" spans="1:7" ht="14.85" customHeight="1">
      <c r="A40" s="1">
        <v>37</v>
      </c>
      <c r="B40" s="1">
        <f>Venues!A23</f>
        <v>21</v>
      </c>
      <c r="C40" t="s">
        <v>198</v>
      </c>
      <c r="D40" s="1">
        <v>2016</v>
      </c>
      <c r="E40" s="47" t="s">
        <v>282</v>
      </c>
      <c r="F40" s="42" t="s">
        <v>345</v>
      </c>
      <c r="G40" s="36" t="str" cm="1">
        <f t="array" aca="1" ref="G40" ca="1">INDIRECT("Venues!C" &amp; MATCH(B40,Venues!A:A,0))</f>
        <v>Oxford Academic</v>
      </c>
    </row>
    <row r="41" spans="1:7" ht="14.85" customHeight="1">
      <c r="A41" s="1">
        <v>38</v>
      </c>
      <c r="B41" s="1">
        <f>Venues!A24</f>
        <v>22</v>
      </c>
      <c r="C41" t="s">
        <v>201</v>
      </c>
      <c r="D41" s="1">
        <v>2023</v>
      </c>
      <c r="E41" s="39" t="s">
        <v>203</v>
      </c>
      <c r="F41" s="42" t="s">
        <v>204</v>
      </c>
      <c r="G41" s="36" t="str" cm="1">
        <f t="array" aca="1" ref="G41" ca="1">INDIRECT("Venues!C" &amp; MATCH(B41,Venues!A:A,0))</f>
        <v>IEEE</v>
      </c>
    </row>
    <row r="42" spans="1:7" ht="14.85" customHeight="1">
      <c r="A42" s="1">
        <v>39</v>
      </c>
      <c r="B42" s="1">
        <f>Venues!A26</f>
        <v>24</v>
      </c>
      <c r="C42" t="s">
        <v>284</v>
      </c>
      <c r="D42" s="1">
        <v>2024</v>
      </c>
      <c r="E42" s="34" t="s">
        <v>286</v>
      </c>
      <c r="F42" s="42" t="s">
        <v>205</v>
      </c>
      <c r="G42" s="36" t="str" cm="1">
        <f t="array" aca="1" ref="G42" ca="1">INDIRECT("Venues!C" &amp; MATCH(B42,Venues!A:A,0))</f>
        <v>Elsevier</v>
      </c>
    </row>
    <row r="43" spans="1:7" ht="14.85" customHeight="1">
      <c r="A43" s="1">
        <v>40</v>
      </c>
      <c r="B43" s="1">
        <f>Venues!A7</f>
        <v>5</v>
      </c>
      <c r="C43" t="s">
        <v>206</v>
      </c>
      <c r="D43" s="1">
        <v>2022</v>
      </c>
      <c r="E43" s="34" t="s">
        <v>210</v>
      </c>
      <c r="F43" s="42" t="s">
        <v>207</v>
      </c>
      <c r="G43" s="36" t="str" cm="1">
        <f t="array" aca="1" ref="G43" ca="1">INDIRECT("Venues!C" &amp; MATCH(B43,Venues!A:A,0))</f>
        <v>IEEE</v>
      </c>
    </row>
    <row r="44" spans="1:7" ht="14.85" customHeight="1">
      <c r="A44" s="1">
        <v>41</v>
      </c>
      <c r="B44" s="1">
        <f>Venues!A9</f>
        <v>7</v>
      </c>
      <c r="C44" s="49" t="s">
        <v>208</v>
      </c>
      <c r="D44" s="1">
        <v>2021</v>
      </c>
      <c r="E44" s="34" t="s">
        <v>209</v>
      </c>
      <c r="F44" s="42" t="s">
        <v>213</v>
      </c>
      <c r="G44" s="36" t="str" cm="1">
        <f t="array" aca="1" ref="G44" ca="1">INDIRECT("Venues!C" &amp; MATCH(B44,Venues!A:A,0))</f>
        <v>Springer</v>
      </c>
    </row>
    <row r="45" spans="1:7" ht="14.85" customHeight="1">
      <c r="A45" s="1">
        <v>42</v>
      </c>
      <c r="B45" s="1">
        <f>Venues!A9</f>
        <v>7</v>
      </c>
      <c r="C45" t="s">
        <v>211</v>
      </c>
      <c r="D45" s="1">
        <v>2017</v>
      </c>
      <c r="E45" s="34" t="s">
        <v>212</v>
      </c>
      <c r="F45" s="42" t="s">
        <v>214</v>
      </c>
      <c r="G45" s="36" t="str" cm="1">
        <f t="array" aca="1" ref="G45" ca="1">INDIRECT("Venues!C" &amp; MATCH(B45,Venues!A:A,0))</f>
        <v>Springer</v>
      </c>
    </row>
    <row r="46" spans="1:7" ht="14.85" customHeight="1">
      <c r="A46" s="1">
        <v>43</v>
      </c>
      <c r="B46" s="1">
        <f>Venues!A25</f>
        <v>23</v>
      </c>
      <c r="C46" t="s">
        <v>215</v>
      </c>
      <c r="D46" s="1">
        <v>2020</v>
      </c>
      <c r="E46" s="34" t="s">
        <v>218</v>
      </c>
      <c r="F46" s="42" t="s">
        <v>219</v>
      </c>
      <c r="G46" s="36" t="str" cm="1">
        <f t="array" aca="1" ref="G46" ca="1">INDIRECT("Venues!C" &amp; MATCH(B46,Venues!A:A,0))</f>
        <v>MDPI</v>
      </c>
    </row>
    <row r="47" spans="1:7" s="31" customFormat="1" ht="14.85" customHeight="1">
      <c r="A47" s="33">
        <v>44</v>
      </c>
      <c r="B47" s="33">
        <f>Venues!A33</f>
        <v>31</v>
      </c>
      <c r="C47" s="31" t="s">
        <v>272</v>
      </c>
      <c r="D47" s="33">
        <v>2024</v>
      </c>
      <c r="E47" s="47" t="s">
        <v>273</v>
      </c>
      <c r="F47" s="42" t="s">
        <v>293</v>
      </c>
      <c r="G47" s="36" t="str" cm="1">
        <f t="array" aca="1" ref="G47" ca="1">INDIRECT("Venues!C" &amp; MATCH(B47,Venues!A:A,0))</f>
        <v>Elsevier</v>
      </c>
    </row>
    <row r="48" spans="1:7" s="31" customFormat="1" ht="14.85" customHeight="1">
      <c r="A48" s="33">
        <v>45</v>
      </c>
      <c r="B48" s="33">
        <f>Venues!A5</f>
        <v>3</v>
      </c>
      <c r="C48" s="31" t="s">
        <v>268</v>
      </c>
      <c r="D48" s="33">
        <v>2017</v>
      </c>
      <c r="E48" s="47" t="s">
        <v>269</v>
      </c>
      <c r="F48" s="42" t="s">
        <v>292</v>
      </c>
      <c r="G48" s="36" t="str" cm="1">
        <f t="array" aca="1" ref="G48" ca="1">INDIRECT("Venues!C" &amp; MATCH(B48,Venues!A:A,0))</f>
        <v>IEEE</v>
      </c>
    </row>
    <row r="49" spans="1:7" ht="14.85" customHeight="1">
      <c r="A49" s="1">
        <v>46</v>
      </c>
      <c r="B49" s="1">
        <f>Venues!A27</f>
        <v>25</v>
      </c>
      <c r="C49" s="31" t="s">
        <v>221</v>
      </c>
      <c r="D49" s="1">
        <v>2022</v>
      </c>
      <c r="E49" s="34" t="s">
        <v>223</v>
      </c>
      <c r="F49" s="42" t="s">
        <v>224</v>
      </c>
      <c r="G49" s="36" t="str" cm="1">
        <f t="array" aca="1" ref="G49" ca="1">INDIRECT("Venues!C" &amp; MATCH(B49,Venues!A:A,0))</f>
        <v>IEEE</v>
      </c>
    </row>
    <row r="50" spans="1:7" ht="14.85" customHeight="1">
      <c r="A50" s="1">
        <v>47</v>
      </c>
      <c r="B50" s="1">
        <f>Venues!A13</f>
        <v>11</v>
      </c>
      <c r="C50" s="24" t="s">
        <v>225</v>
      </c>
      <c r="D50" s="1">
        <v>2024</v>
      </c>
      <c r="E50" s="34" t="s">
        <v>226</v>
      </c>
      <c r="F50" s="42" t="s">
        <v>227</v>
      </c>
      <c r="G50" s="36" t="str" cm="1">
        <f t="array" aca="1" ref="G50" ca="1">INDIRECT("Venues!C" &amp; MATCH(B50,Venues!A:A,0))</f>
        <v>Elsevier</v>
      </c>
    </row>
    <row r="51" spans="1:7" ht="14.85" customHeight="1">
      <c r="A51" s="1">
        <v>48</v>
      </c>
      <c r="B51" s="1">
        <f>Venues!A28</f>
        <v>26</v>
      </c>
      <c r="C51" t="s">
        <v>228</v>
      </c>
      <c r="D51" s="1">
        <v>2023</v>
      </c>
      <c r="E51" s="34" t="s">
        <v>230</v>
      </c>
      <c r="F51" s="42" t="s">
        <v>231</v>
      </c>
      <c r="G51" s="36" t="str" cm="1">
        <f t="array" aca="1" ref="G51" ca="1">INDIRECT("Venues!C" &amp; MATCH(B51,Venues!A:A,0))</f>
        <v>Elsevier</v>
      </c>
    </row>
    <row r="52" spans="1:7" ht="14.85" customHeight="1">
      <c r="A52" s="1">
        <v>49</v>
      </c>
      <c r="B52" s="1">
        <f>Venues!A29</f>
        <v>27</v>
      </c>
      <c r="C52" t="s">
        <v>232</v>
      </c>
      <c r="D52" s="1">
        <v>2023</v>
      </c>
      <c r="E52" s="34" t="s">
        <v>234</v>
      </c>
      <c r="F52" s="42" t="s">
        <v>235</v>
      </c>
      <c r="G52" s="36" t="str" cm="1">
        <f t="array" aca="1" ref="G52" ca="1">INDIRECT("Venues!C" &amp; MATCH(B52,Venues!A:A,0))</f>
        <v>Elsevier</v>
      </c>
    </row>
    <row r="53" spans="1:7" ht="14.85" customHeight="1">
      <c r="A53" s="1" t="s">
        <v>236</v>
      </c>
      <c r="E53" s="34" t="s">
        <v>237</v>
      </c>
    </row>
    <row r="54" spans="1:7" ht="14.85" customHeight="1">
      <c r="A54" s="1">
        <v>50</v>
      </c>
      <c r="B54" s="1">
        <f>Venues!A9</f>
        <v>7</v>
      </c>
      <c r="C54" t="s">
        <v>246</v>
      </c>
      <c r="D54" s="1">
        <v>2024</v>
      </c>
      <c r="E54" s="34" t="s">
        <v>247</v>
      </c>
      <c r="F54" s="42" t="s">
        <v>287</v>
      </c>
      <c r="G54" s="36" t="str" cm="1">
        <f t="array" aca="1" ref="G54" ca="1">INDIRECT("Venues!C" &amp; MATCH(B54,Venues!A:A,0))</f>
        <v>Springer</v>
      </c>
    </row>
    <row r="55" spans="1:7" ht="14.85" customHeight="1">
      <c r="A55" s="1">
        <v>51</v>
      </c>
      <c r="B55" s="1">
        <f>Venues!A7</f>
        <v>5</v>
      </c>
      <c r="C55" t="s">
        <v>239</v>
      </c>
      <c r="D55" s="1">
        <v>2020</v>
      </c>
      <c r="E55" s="34" t="s">
        <v>240</v>
      </c>
      <c r="F55" s="42" t="s">
        <v>241</v>
      </c>
      <c r="G55" s="36" t="str" cm="1">
        <f t="array" aca="1" ref="G55" ca="1">INDIRECT("Venues!C" &amp; MATCH(B55,Venues!A:A,0))</f>
        <v>IEEE</v>
      </c>
    </row>
    <row r="56" spans="1:7" ht="14.85" customHeight="1">
      <c r="A56" s="1">
        <v>52</v>
      </c>
      <c r="B56" s="1">
        <f>Venues!A31</f>
        <v>29</v>
      </c>
      <c r="C56" t="s">
        <v>242</v>
      </c>
      <c r="D56" s="1">
        <v>2021</v>
      </c>
      <c r="E56" s="34" t="s">
        <v>244</v>
      </c>
      <c r="F56" s="42" t="s">
        <v>245</v>
      </c>
      <c r="G56" s="36" t="str" cm="1">
        <f t="array" aca="1" ref="G56" ca="1">INDIRECT("Venues!C" &amp; MATCH(B56,Venues!A:A,0))</f>
        <v>IEEE</v>
      </c>
    </row>
    <row r="57" spans="1:7" s="31" customFormat="1" ht="14.85" customHeight="1">
      <c r="A57" s="33">
        <v>53</v>
      </c>
      <c r="B57" s="33">
        <f>Venues!A30</f>
        <v>28</v>
      </c>
      <c r="C57" s="31" t="s">
        <v>271</v>
      </c>
      <c r="D57" s="33">
        <v>2024</v>
      </c>
      <c r="E57" s="34" t="s">
        <v>270</v>
      </c>
      <c r="F57" s="42" t="s">
        <v>294</v>
      </c>
      <c r="G57" s="36" t="str" cm="1">
        <f t="array" aca="1" ref="G57" ca="1">INDIRECT("Venues!C" &amp; MATCH(B57,Venues!A:A,0))</f>
        <v>Springer</v>
      </c>
    </row>
    <row r="58" spans="1:7" ht="14.85" customHeight="1">
      <c r="A58" s="1">
        <v>54</v>
      </c>
      <c r="B58" s="1">
        <f>Venues!A8</f>
        <v>6</v>
      </c>
      <c r="C58" t="s">
        <v>248</v>
      </c>
      <c r="D58" s="1">
        <v>2016</v>
      </c>
      <c r="E58" s="34" t="s">
        <v>250</v>
      </c>
      <c r="F58" s="42" t="s">
        <v>249</v>
      </c>
      <c r="G58" s="36" t="str" cm="1">
        <f t="array" aca="1" ref="G58" ca="1">INDIRECT("Venues!C" &amp; MATCH(B58,Venues!A:A,0))</f>
        <v>IEEE</v>
      </c>
    </row>
    <row r="59" spans="1:7" ht="14.85" customHeight="1">
      <c r="A59" s="1">
        <v>55</v>
      </c>
      <c r="B59" s="1">
        <f>Venues!A5</f>
        <v>3</v>
      </c>
      <c r="C59" t="s">
        <v>251</v>
      </c>
      <c r="D59" s="1">
        <v>2017</v>
      </c>
      <c r="E59" s="34" t="s">
        <v>253</v>
      </c>
      <c r="F59" s="42" t="s">
        <v>252</v>
      </c>
      <c r="G59" s="36" t="str" cm="1">
        <f t="array" aca="1" ref="G59" ca="1">INDIRECT("Venues!C" &amp; MATCH(B59,Venues!A:A,0))</f>
        <v>IEEE</v>
      </c>
    </row>
    <row r="60" spans="1:7" s="31" customFormat="1" ht="14.85" customHeight="1">
      <c r="A60" s="33">
        <v>56</v>
      </c>
      <c r="B60" s="33">
        <f>Venues!A7</f>
        <v>5</v>
      </c>
      <c r="C60" s="31" t="s">
        <v>265</v>
      </c>
      <c r="D60" s="33">
        <v>2024</v>
      </c>
      <c r="E60" s="47"/>
      <c r="F60" s="23" t="s">
        <v>300</v>
      </c>
      <c r="G60" s="36" t="str" cm="1">
        <f t="array" aca="1" ref="G60" ca="1">INDIRECT("Venues!C" &amp; MATCH(B60,Venues!A:A,0))</f>
        <v>IEEE</v>
      </c>
    </row>
    <row r="61" spans="1:7" ht="14.85" customHeight="1">
      <c r="A61" s="1">
        <v>57</v>
      </c>
      <c r="B61" s="1">
        <f>Venues!A3</f>
        <v>1</v>
      </c>
      <c r="C61" t="s">
        <v>254</v>
      </c>
      <c r="D61" s="1">
        <v>2024</v>
      </c>
      <c r="E61" s="34" t="s">
        <v>255</v>
      </c>
      <c r="F61" s="42" t="s">
        <v>256</v>
      </c>
      <c r="G61" s="36" t="str" cm="1">
        <f t="array" aca="1" ref="G61" ca="1">INDIRECT("Venues!C" &amp; MATCH(B61,Venues!A:A,0))</f>
        <v>IEEE</v>
      </c>
    </row>
    <row r="62" spans="1:7" ht="14.85" customHeight="1">
      <c r="A62" s="1">
        <v>58</v>
      </c>
      <c r="B62" s="1">
        <f>Venues!A4</f>
        <v>2</v>
      </c>
      <c r="C62" t="s">
        <v>257</v>
      </c>
      <c r="D62" s="1">
        <v>2024</v>
      </c>
      <c r="F62" s="42" t="s">
        <v>258</v>
      </c>
      <c r="G62" s="36" t="str" cm="1">
        <f t="array" aca="1" ref="G62" ca="1">INDIRECT("Venues!C" &amp; MATCH(B62,Venues!A:A,0))</f>
        <v>Springer</v>
      </c>
    </row>
    <row r="63" spans="1:7" ht="14.85" customHeight="1">
      <c r="A63" s="1">
        <v>59</v>
      </c>
      <c r="B63" s="1">
        <f>Venues!A29</f>
        <v>27</v>
      </c>
      <c r="C63" s="31" t="s">
        <v>260</v>
      </c>
      <c r="D63" s="1">
        <v>2024</v>
      </c>
      <c r="E63" s="34" t="s">
        <v>266</v>
      </c>
      <c r="F63" s="42" t="s">
        <v>261</v>
      </c>
      <c r="G63" s="36" t="str" cm="1">
        <f t="array" aca="1" ref="G63" ca="1">INDIRECT("Venues!C" &amp; MATCH(B63,Venues!A:A,0))</f>
        <v>Elsevier</v>
      </c>
    </row>
    <row r="64" spans="1:7" s="31" customFormat="1" ht="14.85" customHeight="1">
      <c r="A64" s="33">
        <v>60</v>
      </c>
      <c r="B64" s="33">
        <f>Venues!A29</f>
        <v>27</v>
      </c>
      <c r="C64" s="24" t="s">
        <v>264</v>
      </c>
      <c r="D64" s="33">
        <v>2023</v>
      </c>
      <c r="E64" s="34" t="s">
        <v>267</v>
      </c>
      <c r="F64" s="42" t="s">
        <v>301</v>
      </c>
      <c r="G64" s="36" t="str" cm="1">
        <f t="array" aca="1" ref="G64" ca="1">INDIRECT("Venues!C" &amp; MATCH(B64,Venues!A:A,0))</f>
        <v>Elsevier</v>
      </c>
    </row>
    <row r="65" spans="1:7" s="31" customFormat="1" ht="14.85" customHeight="1">
      <c r="A65" s="33">
        <v>61</v>
      </c>
      <c r="B65" s="33">
        <f>Venues!A34</f>
        <v>32</v>
      </c>
      <c r="C65" s="31" t="s">
        <v>220</v>
      </c>
      <c r="D65" s="33">
        <v>2014</v>
      </c>
      <c r="E65" s="47"/>
      <c r="F65" s="42" t="s">
        <v>341</v>
      </c>
      <c r="G65" s="36" t="str" cm="1">
        <f t="array" aca="1" ref="G65" ca="1">INDIRECT("Venues!C" &amp; MATCH(B65,Venues!A:A,0))</f>
        <v>Elsevier</v>
      </c>
    </row>
    <row r="66" spans="1:7" ht="14.85" customHeight="1">
      <c r="A66" s="1">
        <v>62</v>
      </c>
      <c r="B66" s="1">
        <f>Venues!A35</f>
        <v>33</v>
      </c>
      <c r="C66" t="s">
        <v>295</v>
      </c>
      <c r="D66" s="1">
        <v>2024</v>
      </c>
      <c r="F66" s="42" t="s">
        <v>342</v>
      </c>
      <c r="G66" s="36" t="str" cm="1">
        <f t="array" aca="1" ref="G66" ca="1">INDIRECT("Venues!C" &amp; MATCH(B66,Venues!A:A,0))</f>
        <v>Springer</v>
      </c>
    </row>
    <row r="67" spans="1:7" ht="14.85" customHeight="1">
      <c r="A67" s="1">
        <v>63</v>
      </c>
      <c r="B67" s="1">
        <f>Venues!A36</f>
        <v>34</v>
      </c>
      <c r="C67" t="s">
        <v>297</v>
      </c>
      <c r="D67" s="1">
        <v>2024</v>
      </c>
      <c r="E67" s="56" t="s">
        <v>299</v>
      </c>
      <c r="F67" s="42" t="s">
        <v>343</v>
      </c>
      <c r="G67" s="36" t="str" cm="1">
        <f t="array" aca="1" ref="G67" ca="1">INDIRECT("Venues!C" &amp; MATCH(B67,Venues!A:A,0))</f>
        <v>Springer</v>
      </c>
    </row>
    <row r="68" spans="1:7" ht="14.85" customHeight="1">
      <c r="A68" s="1">
        <v>64</v>
      </c>
      <c r="B68" s="1">
        <f>Venues!A37</f>
        <v>35</v>
      </c>
      <c r="C68" t="s">
        <v>302</v>
      </c>
      <c r="D68" s="1">
        <v>2022</v>
      </c>
      <c r="E68" s="47" t="s">
        <v>305</v>
      </c>
      <c r="F68" s="42" t="s">
        <v>303</v>
      </c>
      <c r="G68" s="36" t="str" cm="1">
        <f t="array" aca="1" ref="G68" ca="1">INDIRECT("Venues!C" &amp; MATCH(B68,Venues!A:A,0))</f>
        <v>IEEE</v>
      </c>
    </row>
    <row r="69" spans="1:7" ht="14.85" customHeight="1">
      <c r="A69" s="1">
        <v>65</v>
      </c>
      <c r="B69" s="1">
        <f>Venues!A38</f>
        <v>36</v>
      </c>
      <c r="C69" t="s">
        <v>306</v>
      </c>
      <c r="D69" s="1">
        <v>2016</v>
      </c>
      <c r="E69" s="47" t="s">
        <v>309</v>
      </c>
      <c r="F69" s="42" t="s">
        <v>308</v>
      </c>
      <c r="G69" s="36" t="str" cm="1">
        <f t="array" aca="1" ref="G69" ca="1">INDIRECT("Venues!C" &amp; MATCH(B69,Venues!A:A,0))</f>
        <v>IEEE</v>
      </c>
    </row>
    <row r="70" spans="1:7" ht="14.85" customHeight="1">
      <c r="A70" s="1">
        <v>66</v>
      </c>
      <c r="B70" s="1">
        <f>Venues!A39</f>
        <v>37</v>
      </c>
      <c r="C70" t="s">
        <v>311</v>
      </c>
      <c r="D70" s="1">
        <v>2014</v>
      </c>
      <c r="E70" s="56" t="s">
        <v>313</v>
      </c>
      <c r="F70" s="42" t="s">
        <v>312</v>
      </c>
      <c r="G70" s="36" t="str" cm="1">
        <f t="array" aca="1" ref="G70" ca="1">INDIRECT("Venues!C" &amp; MATCH(B70,Venues!A:A,0))</f>
        <v>IEEE</v>
      </c>
    </row>
    <row r="71" spans="1:7" ht="14.85" customHeight="1">
      <c r="A71" s="1">
        <v>67</v>
      </c>
      <c r="B71" s="1">
        <f>Venues!A40</f>
        <v>38</v>
      </c>
      <c r="C71" t="s">
        <v>315</v>
      </c>
      <c r="D71" s="1">
        <v>2011</v>
      </c>
      <c r="E71" s="47" t="s">
        <v>317</v>
      </c>
      <c r="F71" s="42" t="s">
        <v>316</v>
      </c>
      <c r="G71" s="36" t="str" cm="1">
        <f t="array" aca="1" ref="G71" ca="1">INDIRECT("Venues!C" &amp; MATCH(B71,Venues!A:A,0))</f>
        <v>Springer</v>
      </c>
    </row>
    <row r="72" spans="1:7" ht="14.85" customHeight="1">
      <c r="A72" s="1">
        <v>68</v>
      </c>
      <c r="B72" s="1">
        <f>Venues!A41</f>
        <v>39</v>
      </c>
      <c r="C72" t="s">
        <v>319</v>
      </c>
      <c r="D72" s="1">
        <v>2009</v>
      </c>
      <c r="E72" s="56" t="s">
        <v>321</v>
      </c>
      <c r="F72" s="42" t="s">
        <v>320</v>
      </c>
      <c r="G72" s="36" t="str" cm="1">
        <f t="array" aca="1" ref="G72" ca="1">INDIRECT("Venues!C" &amp; MATCH(B72,Venues!A:A,0))</f>
        <v>IEEE</v>
      </c>
    </row>
    <row r="73" spans="1:7" ht="14.85" customHeight="1">
      <c r="A73" s="1">
        <v>69</v>
      </c>
      <c r="B73" s="1">
        <f>Venues!A41</f>
        <v>39</v>
      </c>
      <c r="C73" t="s">
        <v>322</v>
      </c>
      <c r="D73" s="1">
        <v>2019</v>
      </c>
      <c r="E73" s="56" t="s">
        <v>324</v>
      </c>
      <c r="F73" s="42" t="s">
        <v>323</v>
      </c>
      <c r="G73" s="36" t="str" cm="1">
        <f t="array" aca="1" ref="G73" ca="1">INDIRECT("Venues!C" &amp; MATCH(B73,Venues!A:A,0))</f>
        <v>IEEE</v>
      </c>
    </row>
    <row r="74" spans="1:7" ht="14.85" customHeight="1">
      <c r="A74" s="1">
        <v>70</v>
      </c>
      <c r="B74" s="1">
        <f>Venues!A42</f>
        <v>40</v>
      </c>
      <c r="C74" t="s">
        <v>326</v>
      </c>
      <c r="D74" s="1">
        <v>2015</v>
      </c>
      <c r="E74" s="56" t="s">
        <v>328</v>
      </c>
      <c r="F74" s="42" t="s">
        <v>327</v>
      </c>
      <c r="G74" s="36" t="str" cm="1">
        <f t="array" aca="1" ref="G74" ca="1">INDIRECT("Venues!C" &amp; MATCH(B74,Venues!A:A,0))</f>
        <v>IEEE</v>
      </c>
    </row>
    <row r="75" spans="1:7" ht="14.85" customHeight="1">
      <c r="A75" s="1">
        <v>71</v>
      </c>
      <c r="B75" s="1">
        <f>Venues!A43</f>
        <v>41</v>
      </c>
      <c r="C75" t="s">
        <v>330</v>
      </c>
      <c r="D75" s="1">
        <v>2022</v>
      </c>
      <c r="E75" s="56" t="s">
        <v>332</v>
      </c>
      <c r="F75" s="42" t="s">
        <v>331</v>
      </c>
      <c r="G75" s="36" t="str" cm="1">
        <f t="array" aca="1" ref="G75" ca="1">INDIRECT("Venues!C" &amp; MATCH(B75,Venues!A:A,0))</f>
        <v>Springer</v>
      </c>
    </row>
    <row r="76" spans="1:7" ht="14.85" customHeight="1">
      <c r="A76" s="1">
        <v>72</v>
      </c>
      <c r="B76" s="1">
        <f>Venues!A44</f>
        <v>42</v>
      </c>
      <c r="C76" t="s">
        <v>334</v>
      </c>
      <c r="D76" s="1">
        <v>2022</v>
      </c>
      <c r="E76" s="47" t="s">
        <v>336</v>
      </c>
      <c r="F76" s="42" t="s">
        <v>335</v>
      </c>
      <c r="G76" s="36" t="str" cm="1">
        <f t="array" aca="1" ref="G76" ca="1">INDIRECT("Venues!C" &amp; MATCH(B76,Venues!A:A,0))</f>
        <v>Springer</v>
      </c>
    </row>
    <row r="77" spans="1:7" ht="14.85" customHeight="1">
      <c r="A77" s="1">
        <v>73</v>
      </c>
      <c r="B77" s="1">
        <f>Venues!A45</f>
        <v>43</v>
      </c>
      <c r="C77" t="s">
        <v>338</v>
      </c>
      <c r="D77" s="1">
        <v>2024</v>
      </c>
      <c r="E77" s="47" t="s">
        <v>340</v>
      </c>
      <c r="F77" s="42" t="s">
        <v>339</v>
      </c>
      <c r="G77" s="36" t="str" cm="1">
        <f t="array" aca="1" ref="G77" ca="1">INDIRECT("Venues!C" &amp; MATCH(B77,Venues!A:A,0))</f>
        <v>Springer</v>
      </c>
    </row>
    <row r="78" spans="1:7" ht="14.85" customHeight="1">
      <c r="A78" s="1">
        <v>74</v>
      </c>
      <c r="B78" s="1">
        <f>Venues!A3</f>
        <v>1</v>
      </c>
      <c r="C78" t="s">
        <v>350</v>
      </c>
      <c r="D78" s="1">
        <v>2024</v>
      </c>
      <c r="E78" s="47" t="s">
        <v>351</v>
      </c>
      <c r="F78" s="42" t="s">
        <v>349</v>
      </c>
      <c r="G78" s="36" t="s">
        <v>3</v>
      </c>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C8D29-5E84-44F7-88D8-F3E97342766C}">
  <dimension ref="A1:L80"/>
  <sheetViews>
    <sheetView workbookViewId="0">
      <pane ySplit="3" topLeftCell="A12" activePane="bottomLeft" state="frozen"/>
      <selection pane="bottomLeft" activeCell="F54" sqref="F54"/>
    </sheetView>
  </sheetViews>
  <sheetFormatPr defaultRowHeight="15"/>
  <cols>
    <col min="1" max="1" width="9.140625" style="1"/>
    <col min="3" max="3" width="14.140625" style="10" customWidth="1"/>
    <col min="4" max="4" width="14.28515625" style="3" customWidth="1"/>
    <col min="8" max="8" width="9" style="3"/>
    <col min="10" max="10" width="9" style="3"/>
    <col min="11" max="11" width="11.28515625" customWidth="1"/>
    <col min="12" max="12" width="13.28515625" style="3" customWidth="1"/>
    <col min="18" max="18" width="9" customWidth="1"/>
  </cols>
  <sheetData>
    <row r="1" spans="1:12">
      <c r="A1" s="1" t="s">
        <v>5</v>
      </c>
      <c r="C1" s="61" t="s">
        <v>26</v>
      </c>
      <c r="D1" s="61"/>
      <c r="E1" s="61"/>
      <c r="F1" s="61"/>
      <c r="G1" s="61"/>
      <c r="H1" s="61"/>
      <c r="I1" s="61"/>
      <c r="J1" s="61"/>
      <c r="K1" s="61"/>
      <c r="L1" s="61"/>
    </row>
    <row r="2" spans="1:12">
      <c r="C2" s="59" t="s">
        <v>16</v>
      </c>
      <c r="D2" s="59"/>
      <c r="E2" s="60" t="s">
        <v>21</v>
      </c>
      <c r="F2" s="60"/>
      <c r="G2" s="60"/>
      <c r="H2" s="60"/>
      <c r="I2" s="59" t="s">
        <v>24</v>
      </c>
      <c r="J2" s="59"/>
      <c r="K2" s="60" t="s">
        <v>25</v>
      </c>
      <c r="L2" s="60"/>
    </row>
    <row r="3" spans="1:12">
      <c r="C3" s="9" t="s">
        <v>14</v>
      </c>
      <c r="D3" s="6" t="s">
        <v>15</v>
      </c>
      <c r="E3" s="5" t="s">
        <v>17</v>
      </c>
      <c r="F3" s="4" t="s">
        <v>18</v>
      </c>
      <c r="G3" s="5" t="s">
        <v>19</v>
      </c>
      <c r="H3" s="6" t="s">
        <v>20</v>
      </c>
      <c r="I3" s="5" t="s">
        <v>22</v>
      </c>
      <c r="J3" s="6" t="s">
        <v>23</v>
      </c>
      <c r="K3" s="5" t="s">
        <v>347</v>
      </c>
      <c r="L3" s="6" t="s">
        <v>348</v>
      </c>
    </row>
    <row r="5" spans="1:12">
      <c r="A5" s="1">
        <f>Papers!A3</f>
        <v>1</v>
      </c>
      <c r="D5" s="7" t="s">
        <v>27</v>
      </c>
      <c r="H5" s="7" t="s">
        <v>27</v>
      </c>
      <c r="I5" s="8"/>
    </row>
    <row r="6" spans="1:12">
      <c r="A6" s="1">
        <f>Papers!A4</f>
        <v>2</v>
      </c>
      <c r="D6" s="7" t="s">
        <v>27</v>
      </c>
      <c r="E6" s="8" t="s">
        <v>27</v>
      </c>
      <c r="I6" s="8" t="s">
        <v>27</v>
      </c>
      <c r="K6" s="8" t="s">
        <v>27</v>
      </c>
      <c r="L6" s="7" t="s">
        <v>27</v>
      </c>
    </row>
    <row r="7" spans="1:12">
      <c r="A7" s="1">
        <f>Papers!A5</f>
        <v>3</v>
      </c>
      <c r="D7" s="7" t="s">
        <v>27</v>
      </c>
      <c r="E7" s="8" t="s">
        <v>27</v>
      </c>
    </row>
    <row r="8" spans="1:12">
      <c r="A8" s="1">
        <f>Papers!A6</f>
        <v>4</v>
      </c>
      <c r="D8" s="7" t="s">
        <v>27</v>
      </c>
      <c r="E8" s="8" t="s">
        <v>27</v>
      </c>
    </row>
    <row r="9" spans="1:12">
      <c r="A9" s="1">
        <f>Papers!A7</f>
        <v>5</v>
      </c>
      <c r="D9" s="7" t="s">
        <v>27</v>
      </c>
      <c r="H9" s="7" t="s">
        <v>27</v>
      </c>
    </row>
    <row r="10" spans="1:12">
      <c r="A10" s="1">
        <f>Papers!A8</f>
        <v>6</v>
      </c>
      <c r="D10" s="7" t="s">
        <v>27</v>
      </c>
      <c r="E10" s="8" t="s">
        <v>27</v>
      </c>
    </row>
    <row r="11" spans="1:12">
      <c r="A11" s="1">
        <f>Papers!A9</f>
        <v>7</v>
      </c>
      <c r="C11" s="8" t="s">
        <v>27</v>
      </c>
      <c r="E11" s="8" t="s">
        <v>27</v>
      </c>
    </row>
    <row r="12" spans="1:12">
      <c r="A12" s="1">
        <f>Papers!A10</f>
        <v>8</v>
      </c>
      <c r="D12" s="7" t="s">
        <v>27</v>
      </c>
      <c r="E12" s="8" t="s">
        <v>27</v>
      </c>
    </row>
    <row r="13" spans="1:12">
      <c r="A13" s="1">
        <f>Papers!A11</f>
        <v>9</v>
      </c>
      <c r="D13" s="7" t="s">
        <v>27</v>
      </c>
      <c r="E13" s="8" t="s">
        <v>27</v>
      </c>
    </row>
    <row r="14" spans="1:12">
      <c r="A14" s="1">
        <f>Papers!A12</f>
        <v>10</v>
      </c>
      <c r="C14" s="8" t="s">
        <v>27</v>
      </c>
      <c r="E14" s="8" t="s">
        <v>27</v>
      </c>
    </row>
    <row r="15" spans="1:12">
      <c r="A15" s="1">
        <f>Papers!A13</f>
        <v>11</v>
      </c>
      <c r="C15" s="8"/>
      <c r="D15" s="7" t="s">
        <v>27</v>
      </c>
      <c r="E15" s="8" t="s">
        <v>27</v>
      </c>
    </row>
    <row r="16" spans="1:12">
      <c r="A16" s="1">
        <f>Papers!A14</f>
        <v>12</v>
      </c>
      <c r="D16" s="7" t="s">
        <v>27</v>
      </c>
      <c r="E16" s="8" t="s">
        <v>27</v>
      </c>
      <c r="I16" s="25"/>
      <c r="J16" s="26"/>
    </row>
    <row r="17" spans="1:9">
      <c r="A17" s="1">
        <f>Papers!A15</f>
        <v>13</v>
      </c>
      <c r="D17" s="7" t="s">
        <v>27</v>
      </c>
      <c r="E17" s="8" t="s">
        <v>27</v>
      </c>
    </row>
    <row r="18" spans="1:9">
      <c r="A18" s="1">
        <f>Papers!A16</f>
        <v>14</v>
      </c>
      <c r="D18" s="7" t="s">
        <v>27</v>
      </c>
      <c r="E18" s="8" t="s">
        <v>27</v>
      </c>
    </row>
    <row r="19" spans="1:9">
      <c r="A19" s="1">
        <f>Papers!A17</f>
        <v>15</v>
      </c>
      <c r="D19" s="7" t="s">
        <v>27</v>
      </c>
      <c r="F19" s="11" t="s">
        <v>27</v>
      </c>
    </row>
    <row r="20" spans="1:9">
      <c r="A20" s="1">
        <f>Papers!A18</f>
        <v>16</v>
      </c>
      <c r="C20" s="8"/>
      <c r="D20" s="7" t="s">
        <v>27</v>
      </c>
      <c r="E20" s="8" t="s">
        <v>27</v>
      </c>
    </row>
    <row r="21" spans="1:9">
      <c r="A21" s="1">
        <f>Papers!A19</f>
        <v>17</v>
      </c>
      <c r="C21" s="8" t="s">
        <v>27</v>
      </c>
      <c r="F21" s="11" t="s">
        <v>27</v>
      </c>
    </row>
    <row r="22" spans="1:9">
      <c r="A22" s="1">
        <f>Papers!A20</f>
        <v>18</v>
      </c>
      <c r="C22" s="8"/>
      <c r="D22" s="7" t="s">
        <v>27</v>
      </c>
      <c r="E22" s="8"/>
      <c r="F22" s="11" t="s">
        <v>27</v>
      </c>
    </row>
    <row r="23" spans="1:9">
      <c r="A23" s="1">
        <f>Papers!A21</f>
        <v>19</v>
      </c>
      <c r="C23" s="8"/>
      <c r="D23" s="7" t="s">
        <v>27</v>
      </c>
      <c r="E23" s="8" t="s">
        <v>27</v>
      </c>
    </row>
    <row r="24" spans="1:9">
      <c r="A24" s="1">
        <f>Papers!A22</f>
        <v>20</v>
      </c>
      <c r="D24" s="7" t="s">
        <v>27</v>
      </c>
      <c r="G24" s="11" t="s">
        <v>27</v>
      </c>
      <c r="I24" s="8"/>
    </row>
    <row r="25" spans="1:9">
      <c r="A25" s="1">
        <f>Papers!A23</f>
        <v>21</v>
      </c>
      <c r="D25" s="7" t="s">
        <v>27</v>
      </c>
      <c r="G25" s="11" t="s">
        <v>27</v>
      </c>
    </row>
    <row r="26" spans="1:9">
      <c r="A26" s="1" t="str">
        <f>Papers!A24</f>
        <v>21-b</v>
      </c>
      <c r="D26" s="7" t="s">
        <v>27</v>
      </c>
      <c r="G26" s="11" t="s">
        <v>27</v>
      </c>
    </row>
    <row r="27" spans="1:9">
      <c r="A27" s="1">
        <f>Papers!A25</f>
        <v>22</v>
      </c>
      <c r="D27" s="7" t="s">
        <v>27</v>
      </c>
      <c r="E27" s="8" t="s">
        <v>27</v>
      </c>
    </row>
    <row r="28" spans="1:9">
      <c r="A28" s="1">
        <f>Papers!A26</f>
        <v>23</v>
      </c>
      <c r="D28" s="7" t="s">
        <v>27</v>
      </c>
      <c r="E28" s="8" t="s">
        <v>27</v>
      </c>
    </row>
    <row r="29" spans="1:9">
      <c r="A29" s="1">
        <f>Papers!A27</f>
        <v>24</v>
      </c>
      <c r="D29" s="7" t="s">
        <v>27</v>
      </c>
      <c r="E29" s="8" t="s">
        <v>27</v>
      </c>
    </row>
    <row r="30" spans="1:9">
      <c r="A30" s="1">
        <f>Papers!A28</f>
        <v>25</v>
      </c>
      <c r="D30" s="7" t="s">
        <v>27</v>
      </c>
      <c r="F30" s="11" t="s">
        <v>27</v>
      </c>
    </row>
    <row r="31" spans="1:9">
      <c r="A31" s="1">
        <f>Papers!A29</f>
        <v>26</v>
      </c>
      <c r="D31" s="7" t="s">
        <v>27</v>
      </c>
      <c r="E31" s="8" t="s">
        <v>27</v>
      </c>
    </row>
    <row r="32" spans="1:9">
      <c r="A32" s="1">
        <f>Papers!A30</f>
        <v>27</v>
      </c>
      <c r="D32" s="7" t="s">
        <v>27</v>
      </c>
      <c r="E32" s="8" t="s">
        <v>27</v>
      </c>
    </row>
    <row r="33" spans="1:11">
      <c r="A33" s="1">
        <f>Papers!A31</f>
        <v>28</v>
      </c>
      <c r="D33" s="7" t="s">
        <v>27</v>
      </c>
      <c r="E33" s="8" t="s">
        <v>27</v>
      </c>
    </row>
    <row r="34" spans="1:11">
      <c r="A34" s="1">
        <f>Papers!A32</f>
        <v>29</v>
      </c>
      <c r="D34" s="7" t="s">
        <v>27</v>
      </c>
      <c r="E34" s="8" t="s">
        <v>27</v>
      </c>
    </row>
    <row r="35" spans="1:11">
      <c r="A35" s="1">
        <f>Papers!A33</f>
        <v>30</v>
      </c>
      <c r="D35" s="7" t="s">
        <v>27</v>
      </c>
      <c r="E35" s="8" t="s">
        <v>27</v>
      </c>
    </row>
    <row r="36" spans="1:11">
      <c r="A36" s="1">
        <f>Papers!A34</f>
        <v>31</v>
      </c>
      <c r="D36" s="7" t="s">
        <v>27</v>
      </c>
      <c r="E36" s="8" t="s">
        <v>27</v>
      </c>
    </row>
    <row r="37" spans="1:11">
      <c r="A37" s="1">
        <f>Papers!A35</f>
        <v>32</v>
      </c>
      <c r="C37" s="8" t="s">
        <v>27</v>
      </c>
      <c r="F37" s="11" t="s">
        <v>27</v>
      </c>
    </row>
    <row r="38" spans="1:11">
      <c r="A38" s="1">
        <f>Papers!A36</f>
        <v>33</v>
      </c>
      <c r="C38" s="8" t="s">
        <v>27</v>
      </c>
      <c r="F38" s="11" t="s">
        <v>27</v>
      </c>
    </row>
    <row r="39" spans="1:11">
      <c r="A39" s="1">
        <f>Papers!A37</f>
        <v>34</v>
      </c>
      <c r="C39" s="8" t="s">
        <v>27</v>
      </c>
      <c r="F39" s="11" t="s">
        <v>27</v>
      </c>
    </row>
    <row r="40" spans="1:11">
      <c r="A40" s="1">
        <f>Papers!A38</f>
        <v>35</v>
      </c>
      <c r="D40" s="7" t="s">
        <v>27</v>
      </c>
      <c r="F40" s="11" t="s">
        <v>27</v>
      </c>
    </row>
    <row r="41" spans="1:11">
      <c r="A41" s="1">
        <f>Papers!A39</f>
        <v>36</v>
      </c>
      <c r="C41" s="8" t="s">
        <v>27</v>
      </c>
      <c r="E41" s="8"/>
      <c r="F41" s="11" t="s">
        <v>27</v>
      </c>
    </row>
    <row r="42" spans="1:11">
      <c r="A42" s="1">
        <f>Papers!A40</f>
        <v>37</v>
      </c>
      <c r="D42" s="7" t="s">
        <v>27</v>
      </c>
      <c r="E42" s="8" t="s">
        <v>27</v>
      </c>
      <c r="I42" s="8"/>
      <c r="K42" s="8"/>
    </row>
    <row r="43" spans="1:11">
      <c r="A43" s="1">
        <f>Papers!A41</f>
        <v>38</v>
      </c>
      <c r="D43" s="7" t="s">
        <v>27</v>
      </c>
      <c r="E43" s="8" t="s">
        <v>27</v>
      </c>
    </row>
    <row r="44" spans="1:11">
      <c r="A44" s="1">
        <f>Papers!A42</f>
        <v>39</v>
      </c>
      <c r="D44" s="7" t="s">
        <v>27</v>
      </c>
      <c r="E44" s="8" t="s">
        <v>27</v>
      </c>
    </row>
    <row r="45" spans="1:11">
      <c r="A45" s="1">
        <f>Papers!A43</f>
        <v>40</v>
      </c>
      <c r="C45" s="8" t="s">
        <v>27</v>
      </c>
      <c r="F45" s="11" t="s">
        <v>27</v>
      </c>
    </row>
    <row r="46" spans="1:11">
      <c r="A46" s="1">
        <f>Papers!A44</f>
        <v>41</v>
      </c>
      <c r="D46" s="7" t="s">
        <v>27</v>
      </c>
      <c r="E46" s="8" t="s">
        <v>27</v>
      </c>
    </row>
    <row r="47" spans="1:11">
      <c r="A47" s="1">
        <f>Papers!A45</f>
        <v>42</v>
      </c>
      <c r="D47" s="7" t="s">
        <v>27</v>
      </c>
      <c r="E47" s="8" t="s">
        <v>27</v>
      </c>
    </row>
    <row r="48" spans="1:11">
      <c r="A48" s="1">
        <f>Papers!A46</f>
        <v>43</v>
      </c>
      <c r="D48" s="7" t="s">
        <v>27</v>
      </c>
      <c r="E48" s="8" t="s">
        <v>27</v>
      </c>
    </row>
    <row r="49" spans="1:12" s="31" customFormat="1">
      <c r="A49" s="33">
        <f>Papers!A47</f>
        <v>44</v>
      </c>
      <c r="C49" s="8" t="s">
        <v>27</v>
      </c>
      <c r="D49" s="32"/>
      <c r="F49" s="11" t="s">
        <v>27</v>
      </c>
      <c r="H49" s="32"/>
      <c r="J49" s="32"/>
      <c r="L49" s="32"/>
    </row>
    <row r="50" spans="1:12" s="31" customFormat="1">
      <c r="A50" s="33">
        <f>Papers!A48</f>
        <v>45</v>
      </c>
      <c r="C50" s="10"/>
      <c r="D50" s="7" t="s">
        <v>27</v>
      </c>
      <c r="E50" s="8" t="s">
        <v>27</v>
      </c>
      <c r="H50" s="32"/>
      <c r="I50" s="8"/>
      <c r="J50" s="32"/>
      <c r="L50" s="32"/>
    </row>
    <row r="51" spans="1:12">
      <c r="A51" s="1">
        <f>Papers!A49</f>
        <v>46</v>
      </c>
      <c r="C51" s="8" t="s">
        <v>27</v>
      </c>
      <c r="D51" s="7" t="s">
        <v>27</v>
      </c>
      <c r="F51" s="11" t="s">
        <v>27</v>
      </c>
    </row>
    <row r="52" spans="1:12">
      <c r="A52" s="1">
        <f>Papers!A50</f>
        <v>47</v>
      </c>
      <c r="C52" s="8" t="s">
        <v>27</v>
      </c>
      <c r="F52" s="11" t="s">
        <v>27</v>
      </c>
    </row>
    <row r="53" spans="1:12">
      <c r="A53" s="1">
        <f>Papers!A51</f>
        <v>48</v>
      </c>
      <c r="D53" s="7" t="s">
        <v>27</v>
      </c>
      <c r="F53" s="11" t="s">
        <v>27</v>
      </c>
    </row>
    <row r="54" spans="1:12">
      <c r="A54" s="1">
        <f>Papers!A52</f>
        <v>49</v>
      </c>
      <c r="C54" s="8" t="s">
        <v>27</v>
      </c>
      <c r="F54" s="11" t="s">
        <v>27</v>
      </c>
    </row>
    <row r="55" spans="1:12">
      <c r="A55" s="1" t="str">
        <f>Papers!A53</f>
        <v>49-b</v>
      </c>
      <c r="C55" s="8" t="s">
        <v>27</v>
      </c>
      <c r="E55" s="8" t="s">
        <v>27</v>
      </c>
      <c r="F55" s="11"/>
    </row>
    <row r="56" spans="1:12">
      <c r="A56" s="1">
        <f>Papers!A54</f>
        <v>50</v>
      </c>
      <c r="D56" s="7" t="s">
        <v>27</v>
      </c>
      <c r="E56" s="8"/>
      <c r="F56" s="11" t="s">
        <v>27</v>
      </c>
    </row>
    <row r="57" spans="1:12">
      <c r="A57" s="1">
        <f>Papers!A55</f>
        <v>51</v>
      </c>
      <c r="C57" s="8" t="s">
        <v>27</v>
      </c>
      <c r="D57" s="7" t="s">
        <v>27</v>
      </c>
      <c r="E57" s="8" t="s">
        <v>27</v>
      </c>
    </row>
    <row r="58" spans="1:12">
      <c r="A58" s="1">
        <f>Papers!A56</f>
        <v>52</v>
      </c>
      <c r="D58" s="7" t="s">
        <v>27</v>
      </c>
      <c r="E58" s="8" t="s">
        <v>27</v>
      </c>
      <c r="I58" s="8"/>
    </row>
    <row r="59" spans="1:12" s="31" customFormat="1">
      <c r="A59" s="33">
        <f>Papers!A57</f>
        <v>53</v>
      </c>
      <c r="C59" s="10"/>
      <c r="D59" s="7" t="s">
        <v>27</v>
      </c>
      <c r="G59" s="11" t="s">
        <v>27</v>
      </c>
      <c r="H59" s="32"/>
      <c r="J59" s="32"/>
      <c r="L59" s="32"/>
    </row>
    <row r="60" spans="1:12">
      <c r="A60" s="1">
        <f>Papers!A58</f>
        <v>54</v>
      </c>
      <c r="D60" s="7" t="s">
        <v>27</v>
      </c>
      <c r="E60" s="8" t="s">
        <v>27</v>
      </c>
    </row>
    <row r="61" spans="1:12">
      <c r="A61" s="1">
        <f>Papers!A59</f>
        <v>55</v>
      </c>
      <c r="D61" s="7" t="s">
        <v>27</v>
      </c>
      <c r="E61" s="8" t="s">
        <v>27</v>
      </c>
      <c r="G61" s="11" t="s">
        <v>27</v>
      </c>
    </row>
    <row r="62" spans="1:12" s="31" customFormat="1">
      <c r="A62" s="33">
        <f>Papers!A60</f>
        <v>56</v>
      </c>
      <c r="C62" s="8" t="s">
        <v>27</v>
      </c>
      <c r="D62" s="32"/>
      <c r="F62" s="11" t="s">
        <v>27</v>
      </c>
      <c r="H62" s="32"/>
      <c r="J62" s="32"/>
      <c r="L62" s="32"/>
    </row>
    <row r="63" spans="1:12">
      <c r="A63" s="1">
        <f>Papers!A61</f>
        <v>57</v>
      </c>
      <c r="D63" s="7" t="s">
        <v>27</v>
      </c>
      <c r="E63" s="8" t="s">
        <v>27</v>
      </c>
    </row>
    <row r="64" spans="1:12">
      <c r="A64" s="1">
        <f>Papers!A62</f>
        <v>58</v>
      </c>
      <c r="C64" s="8" t="s">
        <v>27</v>
      </c>
      <c r="D64" s="7" t="s">
        <v>27</v>
      </c>
      <c r="E64" s="8"/>
      <c r="F64" s="11" t="s">
        <v>27</v>
      </c>
    </row>
    <row r="65" spans="1:12">
      <c r="A65" s="1">
        <f>Papers!A63</f>
        <v>59</v>
      </c>
      <c r="C65" s="8" t="s">
        <v>27</v>
      </c>
      <c r="E65" s="8" t="s">
        <v>27</v>
      </c>
    </row>
    <row r="66" spans="1:12" s="31" customFormat="1">
      <c r="A66" s="33">
        <f>Papers!A64</f>
        <v>60</v>
      </c>
      <c r="C66" s="10"/>
      <c r="D66" s="7" t="s">
        <v>27</v>
      </c>
      <c r="E66" s="8" t="s">
        <v>27</v>
      </c>
      <c r="H66" s="32"/>
      <c r="J66" s="32"/>
      <c r="L66" s="32"/>
    </row>
    <row r="67" spans="1:12" s="31" customFormat="1">
      <c r="A67" s="33">
        <f>Papers!A65</f>
        <v>61</v>
      </c>
      <c r="C67" s="8" t="s">
        <v>27</v>
      </c>
      <c r="D67" s="32"/>
      <c r="E67" s="8" t="s">
        <v>27</v>
      </c>
      <c r="H67" s="32"/>
      <c r="J67" s="32"/>
      <c r="L67" s="32"/>
    </row>
    <row r="68" spans="1:12">
      <c r="A68" s="33">
        <f>Papers!A66</f>
        <v>62</v>
      </c>
      <c r="C68" s="8" t="s">
        <v>27</v>
      </c>
      <c r="E68" s="8" t="s">
        <v>27</v>
      </c>
    </row>
    <row r="69" spans="1:12">
      <c r="A69" s="33">
        <f>Papers!A67</f>
        <v>63</v>
      </c>
      <c r="D69" s="7" t="s">
        <v>27</v>
      </c>
      <c r="E69" s="8" t="s">
        <v>27</v>
      </c>
    </row>
    <row r="70" spans="1:12">
      <c r="A70" s="33">
        <f>Papers!A68</f>
        <v>64</v>
      </c>
      <c r="D70" s="7" t="s">
        <v>27</v>
      </c>
      <c r="E70" s="8" t="s">
        <v>27</v>
      </c>
    </row>
    <row r="71" spans="1:12">
      <c r="A71" s="36">
        <f>Papers!A69</f>
        <v>65</v>
      </c>
      <c r="C71" s="8" t="s">
        <v>27</v>
      </c>
      <c r="E71" s="8" t="s">
        <v>27</v>
      </c>
    </row>
    <row r="72" spans="1:12">
      <c r="A72" s="36">
        <f>Papers!A70</f>
        <v>66</v>
      </c>
      <c r="D72" s="7" t="s">
        <v>27</v>
      </c>
      <c r="E72" s="8" t="s">
        <v>27</v>
      </c>
    </row>
    <row r="73" spans="1:12">
      <c r="A73" s="36">
        <f>Papers!A71</f>
        <v>67</v>
      </c>
      <c r="C73" s="8" t="s">
        <v>27</v>
      </c>
      <c r="E73" s="8" t="s">
        <v>27</v>
      </c>
    </row>
    <row r="74" spans="1:12">
      <c r="A74" s="36">
        <f>Papers!A72</f>
        <v>68</v>
      </c>
      <c r="D74" s="7" t="s">
        <v>27</v>
      </c>
      <c r="E74" s="8" t="s">
        <v>27</v>
      </c>
    </row>
    <row r="75" spans="1:12">
      <c r="A75" s="36">
        <f>Papers!A73</f>
        <v>69</v>
      </c>
      <c r="D75" s="7" t="s">
        <v>27</v>
      </c>
      <c r="E75" s="8" t="s">
        <v>27</v>
      </c>
    </row>
    <row r="76" spans="1:12">
      <c r="A76" s="36">
        <f>Papers!A74</f>
        <v>70</v>
      </c>
      <c r="C76" s="8" t="s">
        <v>27</v>
      </c>
      <c r="G76" s="11" t="s">
        <v>27</v>
      </c>
    </row>
    <row r="77" spans="1:12">
      <c r="A77" s="36">
        <f>Papers!A75</f>
        <v>71</v>
      </c>
      <c r="D77" s="7" t="s">
        <v>27</v>
      </c>
      <c r="E77" s="8" t="s">
        <v>27</v>
      </c>
    </row>
    <row r="78" spans="1:12">
      <c r="A78" s="36">
        <f>Papers!A76</f>
        <v>72</v>
      </c>
      <c r="C78" s="8" t="s">
        <v>27</v>
      </c>
      <c r="E78" s="8" t="s">
        <v>27</v>
      </c>
    </row>
    <row r="79" spans="1:12">
      <c r="A79" s="36">
        <f>Papers!A77</f>
        <v>73</v>
      </c>
      <c r="D79" s="7" t="s">
        <v>27</v>
      </c>
      <c r="E79" s="8" t="s">
        <v>27</v>
      </c>
    </row>
    <row r="80" spans="1:12">
      <c r="A80" s="53">
        <f>Papers!A78</f>
        <v>74</v>
      </c>
      <c r="D80" s="7" t="s">
        <v>27</v>
      </c>
      <c r="E80" s="8" t="s">
        <v>27</v>
      </c>
    </row>
  </sheetData>
  <mergeCells count="5">
    <mergeCell ref="C2:D2"/>
    <mergeCell ref="E2:H2"/>
    <mergeCell ref="I2:J2"/>
    <mergeCell ref="K2:L2"/>
    <mergeCell ref="C1:L1"/>
  </mergeCell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B1A25-F7D8-4EEB-BA6D-D08179B110C7}">
  <dimension ref="A1:AC81"/>
  <sheetViews>
    <sheetView topLeftCell="A2" workbookViewId="0">
      <pane ySplit="3" topLeftCell="A56" activePane="bottomLeft" state="frozen"/>
      <selection activeCell="E2" sqref="E2"/>
      <selection pane="bottomLeft" activeCell="AB35" sqref="AB35"/>
    </sheetView>
  </sheetViews>
  <sheetFormatPr defaultRowHeight="15"/>
  <cols>
    <col min="1" max="1" width="9.140625" style="1"/>
    <col min="3" max="3" width="12.42578125" style="10" customWidth="1"/>
    <col min="4" max="4" width="10.85546875" style="3" customWidth="1"/>
    <col min="6" max="6" width="9" style="3"/>
    <col min="8" max="8" width="11.85546875" customWidth="1"/>
    <col min="9" max="9" width="9" style="3"/>
    <col min="10" max="10" width="9"/>
    <col min="11" max="11" width="9" style="3"/>
    <col min="12" max="12" width="9"/>
    <col min="19" max="19" width="11" style="3" customWidth="1"/>
    <col min="20" max="20" width="12.28515625" customWidth="1"/>
    <col min="21" max="21" width="11" style="52" customWidth="1"/>
    <col min="22" max="22" width="12.28515625" customWidth="1"/>
    <col min="23" max="23" width="9" style="3"/>
    <col min="24" max="24" width="15.85546875" customWidth="1"/>
    <col min="25" max="25" width="15.5703125" customWidth="1"/>
    <col min="26" max="26" width="14.5703125" customWidth="1"/>
    <col min="27" max="27" width="23.28515625" style="52" customWidth="1"/>
    <col min="28" max="28" width="9.28515625" customWidth="1"/>
    <col min="29" max="29" width="24.7109375" style="57" customWidth="1"/>
  </cols>
  <sheetData>
    <row r="1" spans="1:29">
      <c r="A1" s="1" t="s">
        <v>5</v>
      </c>
      <c r="C1" s="61" t="s">
        <v>59</v>
      </c>
      <c r="D1" s="61"/>
      <c r="E1" s="61"/>
      <c r="F1" s="61"/>
      <c r="G1" s="61"/>
      <c r="H1" s="61"/>
      <c r="I1" s="61"/>
      <c r="J1" s="61"/>
      <c r="K1" s="61"/>
      <c r="L1" s="61"/>
      <c r="M1" s="66"/>
      <c r="N1" s="66"/>
      <c r="O1" s="66"/>
      <c r="P1" s="66"/>
      <c r="Q1" s="66"/>
      <c r="R1" s="66"/>
      <c r="S1" s="66"/>
      <c r="T1" s="66"/>
      <c r="U1" s="66"/>
      <c r="V1" s="66"/>
      <c r="W1" s="66"/>
      <c r="X1" s="66"/>
      <c r="Y1" s="66"/>
      <c r="Z1" s="66"/>
      <c r="AA1" s="67"/>
    </row>
    <row r="2" spans="1:29">
      <c r="C2" s="59" t="s">
        <v>52</v>
      </c>
      <c r="D2" s="59"/>
      <c r="E2" s="60" t="s">
        <v>53</v>
      </c>
      <c r="F2" s="68"/>
      <c r="G2" s="59" t="s">
        <v>54</v>
      </c>
      <c r="H2" s="59"/>
      <c r="I2" s="59"/>
      <c r="J2" s="60" t="s">
        <v>55</v>
      </c>
      <c r="K2" s="60"/>
      <c r="L2" s="59" t="s">
        <v>56</v>
      </c>
      <c r="M2" s="69"/>
      <c r="N2" s="69"/>
      <c r="O2" s="69"/>
      <c r="P2" s="69"/>
      <c r="Q2" s="69"/>
      <c r="R2" s="69"/>
      <c r="S2" s="69"/>
      <c r="T2" s="60" t="s">
        <v>57</v>
      </c>
      <c r="U2" s="60"/>
      <c r="V2" s="60"/>
      <c r="W2" s="60"/>
      <c r="X2" s="59" t="s">
        <v>58</v>
      </c>
      <c r="Y2" s="59"/>
      <c r="Z2" s="59"/>
      <c r="AA2" s="59"/>
      <c r="AB2" s="72"/>
      <c r="AC2" s="73"/>
    </row>
    <row r="3" spans="1:29">
      <c r="C3" s="9" t="s">
        <v>29</v>
      </c>
      <c r="D3" s="6" t="s">
        <v>30</v>
      </c>
      <c r="E3" s="5" t="s">
        <v>31</v>
      </c>
      <c r="F3" s="6" t="s">
        <v>32</v>
      </c>
      <c r="G3" s="5" t="s">
        <v>33</v>
      </c>
      <c r="H3" s="4" t="s">
        <v>34</v>
      </c>
      <c r="I3" s="12" t="s">
        <v>35</v>
      </c>
      <c r="J3" s="4" t="s">
        <v>36</v>
      </c>
      <c r="K3" s="12" t="s">
        <v>37</v>
      </c>
      <c r="L3" s="4" t="s">
        <v>38</v>
      </c>
      <c r="M3" s="5" t="s">
        <v>39</v>
      </c>
      <c r="N3" s="4" t="s">
        <v>40</v>
      </c>
      <c r="O3" s="5" t="s">
        <v>41</v>
      </c>
      <c r="P3" s="4" t="s">
        <v>42</v>
      </c>
      <c r="Q3" s="5" t="s">
        <v>43</v>
      </c>
      <c r="R3" s="4" t="s">
        <v>44</v>
      </c>
      <c r="S3" s="12" t="s">
        <v>45</v>
      </c>
      <c r="T3" s="62" t="s">
        <v>22</v>
      </c>
      <c r="U3" s="63"/>
      <c r="V3" s="64" t="s">
        <v>23</v>
      </c>
      <c r="W3" s="65"/>
      <c r="X3" s="4" t="s">
        <v>49</v>
      </c>
      <c r="Y3" s="5" t="s">
        <v>50</v>
      </c>
      <c r="Z3" s="4" t="s">
        <v>51</v>
      </c>
      <c r="AA3" s="55" t="s">
        <v>352</v>
      </c>
      <c r="AB3" s="4" t="s">
        <v>353</v>
      </c>
      <c r="AC3" s="54" t="s">
        <v>259</v>
      </c>
    </row>
    <row r="4" spans="1:29">
      <c r="T4" s="5" t="s">
        <v>46</v>
      </c>
      <c r="U4" s="51" t="s">
        <v>47</v>
      </c>
      <c r="V4" s="5" t="s">
        <v>48</v>
      </c>
      <c r="W4" s="6" t="s">
        <v>20</v>
      </c>
    </row>
    <row r="6" spans="1:29">
      <c r="A6" s="1">
        <f>Papers!A3</f>
        <v>1</v>
      </c>
      <c r="C6" s="8" t="s">
        <v>27</v>
      </c>
      <c r="D6" s="7"/>
      <c r="F6" s="7" t="s">
        <v>27</v>
      </c>
      <c r="H6" s="11" t="s">
        <v>27</v>
      </c>
      <c r="I6" s="7"/>
      <c r="K6" s="11" t="s">
        <v>27</v>
      </c>
      <c r="L6" s="8" t="s">
        <v>27</v>
      </c>
      <c r="M6" s="11" t="s">
        <v>27</v>
      </c>
      <c r="U6" s="40" t="s">
        <v>27</v>
      </c>
      <c r="W6" s="11" t="s">
        <v>27</v>
      </c>
      <c r="X6" s="8" t="s">
        <v>27</v>
      </c>
    </row>
    <row r="7" spans="1:29">
      <c r="A7" s="1">
        <f>Papers!A4</f>
        <v>2</v>
      </c>
      <c r="C7" s="8" t="s">
        <v>27</v>
      </c>
      <c r="F7" s="7" t="s">
        <v>27</v>
      </c>
      <c r="H7" s="11" t="s">
        <v>27</v>
      </c>
      <c r="K7" s="11" t="s">
        <v>27</v>
      </c>
      <c r="L7" s="8" t="s">
        <v>27</v>
      </c>
      <c r="M7" s="11" t="s">
        <v>27</v>
      </c>
      <c r="U7" s="40"/>
      <c r="W7" s="11" t="s">
        <v>27</v>
      </c>
      <c r="X7" s="8" t="s">
        <v>27</v>
      </c>
    </row>
    <row r="8" spans="1:29">
      <c r="A8" s="1">
        <f>Papers!A5</f>
        <v>3</v>
      </c>
      <c r="D8" s="7" t="s">
        <v>27</v>
      </c>
      <c r="E8" s="8" t="s">
        <v>27</v>
      </c>
      <c r="G8" s="8" t="s">
        <v>27</v>
      </c>
      <c r="J8" s="8" t="s">
        <v>27</v>
      </c>
      <c r="L8" s="8" t="s">
        <v>27</v>
      </c>
      <c r="M8" s="11" t="s">
        <v>27</v>
      </c>
      <c r="U8" s="40" t="s">
        <v>27</v>
      </c>
      <c r="Y8" s="11" t="s">
        <v>27</v>
      </c>
    </row>
    <row r="9" spans="1:29">
      <c r="A9" s="1">
        <f>Papers!A6</f>
        <v>4</v>
      </c>
      <c r="D9" s="7" t="s">
        <v>27</v>
      </c>
      <c r="E9" s="8" t="s">
        <v>27</v>
      </c>
      <c r="H9" s="11" t="s">
        <v>27</v>
      </c>
      <c r="J9" s="8" t="s">
        <v>27</v>
      </c>
      <c r="L9" s="8" t="s">
        <v>27</v>
      </c>
      <c r="M9" s="11" t="s">
        <v>27</v>
      </c>
      <c r="Q9" s="11" t="s">
        <v>27</v>
      </c>
      <c r="S9" s="7" t="s">
        <v>27</v>
      </c>
      <c r="V9" s="40" t="s">
        <v>27</v>
      </c>
      <c r="X9" s="8" t="s">
        <v>27</v>
      </c>
    </row>
    <row r="10" spans="1:29">
      <c r="A10" s="1">
        <f>Papers!A7</f>
        <v>5</v>
      </c>
      <c r="D10" s="7" t="s">
        <v>27</v>
      </c>
      <c r="E10" s="8" t="s">
        <v>27</v>
      </c>
      <c r="G10" s="8" t="s">
        <v>27</v>
      </c>
      <c r="L10" s="8" t="s">
        <v>27</v>
      </c>
      <c r="M10" s="11" t="s">
        <v>27</v>
      </c>
      <c r="U10" s="40" t="s">
        <v>27</v>
      </c>
      <c r="X10" s="8" t="s">
        <v>27</v>
      </c>
    </row>
    <row r="11" spans="1:29">
      <c r="A11" s="1">
        <f>Papers!A8</f>
        <v>6</v>
      </c>
      <c r="D11" s="7" t="s">
        <v>27</v>
      </c>
      <c r="E11" s="8" t="s">
        <v>27</v>
      </c>
      <c r="H11" s="11" t="s">
        <v>27</v>
      </c>
      <c r="J11" s="8" t="s">
        <v>27</v>
      </c>
      <c r="L11" s="8" t="s">
        <v>27</v>
      </c>
      <c r="M11" s="11" t="s">
        <v>27</v>
      </c>
      <c r="V11" s="40" t="s">
        <v>27</v>
      </c>
      <c r="X11" s="8" t="s">
        <v>27</v>
      </c>
    </row>
    <row r="12" spans="1:29">
      <c r="A12" s="1">
        <f>Papers!A9</f>
        <v>7</v>
      </c>
      <c r="D12" s="7" t="s">
        <v>27</v>
      </c>
      <c r="E12" s="8" t="s">
        <v>27</v>
      </c>
      <c r="G12" s="8" t="s">
        <v>27</v>
      </c>
      <c r="L12" s="8" t="s">
        <v>27</v>
      </c>
      <c r="M12" s="11" t="s">
        <v>27</v>
      </c>
      <c r="Q12" s="11"/>
      <c r="V12" s="40" t="s">
        <v>27</v>
      </c>
      <c r="AA12" s="40" t="s">
        <v>27</v>
      </c>
    </row>
    <row r="13" spans="1:29">
      <c r="A13" s="1">
        <f>Papers!A10</f>
        <v>8</v>
      </c>
      <c r="D13" s="7" t="s">
        <v>27</v>
      </c>
      <c r="E13" s="8" t="s">
        <v>27</v>
      </c>
      <c r="H13" s="11" t="s">
        <v>27</v>
      </c>
      <c r="K13" s="11" t="s">
        <v>27</v>
      </c>
      <c r="L13" s="8" t="s">
        <v>27</v>
      </c>
      <c r="M13" s="11" t="s">
        <v>27</v>
      </c>
      <c r="S13" s="7" t="s">
        <v>27</v>
      </c>
      <c r="V13" s="40" t="s">
        <v>27</v>
      </c>
      <c r="X13" s="8" t="s">
        <v>27</v>
      </c>
    </row>
    <row r="14" spans="1:29">
      <c r="A14" s="1">
        <f>Papers!A11</f>
        <v>9</v>
      </c>
      <c r="D14" s="7" t="s">
        <v>27</v>
      </c>
      <c r="E14" s="8" t="s">
        <v>27</v>
      </c>
      <c r="G14" s="8" t="s">
        <v>27</v>
      </c>
      <c r="H14" s="11"/>
      <c r="J14" s="8" t="s">
        <v>27</v>
      </c>
      <c r="L14" s="8" t="s">
        <v>27</v>
      </c>
      <c r="M14" s="11" t="s">
        <v>27</v>
      </c>
      <c r="P14" s="11" t="s">
        <v>27</v>
      </c>
      <c r="R14" s="11" t="s">
        <v>27</v>
      </c>
      <c r="V14" s="40" t="s">
        <v>27</v>
      </c>
      <c r="X14" s="8" t="s">
        <v>27</v>
      </c>
    </row>
    <row r="15" spans="1:29">
      <c r="A15" s="1">
        <f>Papers!A12</f>
        <v>10</v>
      </c>
      <c r="D15" s="7" t="s">
        <v>27</v>
      </c>
      <c r="E15" s="8" t="s">
        <v>27</v>
      </c>
      <c r="G15" s="8" t="s">
        <v>27</v>
      </c>
      <c r="J15" s="8" t="s">
        <v>27</v>
      </c>
      <c r="L15" s="8" t="s">
        <v>27</v>
      </c>
      <c r="M15" s="11" t="s">
        <v>27</v>
      </c>
      <c r="V15" s="40" t="s">
        <v>27</v>
      </c>
      <c r="X15" s="8"/>
      <c r="AB15" s="11" t="s">
        <v>27</v>
      </c>
    </row>
    <row r="16" spans="1:29">
      <c r="A16" s="1">
        <f>Papers!A13</f>
        <v>11</v>
      </c>
      <c r="D16" s="7" t="s">
        <v>27</v>
      </c>
      <c r="E16" s="8" t="s">
        <v>27</v>
      </c>
      <c r="G16" s="8"/>
      <c r="H16" s="11" t="s">
        <v>27</v>
      </c>
      <c r="J16" s="8" t="s">
        <v>27</v>
      </c>
      <c r="L16" s="8" t="s">
        <v>27</v>
      </c>
      <c r="M16" s="11"/>
      <c r="S16" s="7" t="s">
        <v>27</v>
      </c>
      <c r="T16" s="8"/>
      <c r="V16" s="40" t="s">
        <v>27</v>
      </c>
      <c r="X16" s="8" t="s">
        <v>27</v>
      </c>
      <c r="AA16" s="40"/>
    </row>
    <row r="17" spans="1:28">
      <c r="A17" s="1">
        <f>Papers!A14</f>
        <v>12</v>
      </c>
      <c r="D17" s="7" t="s">
        <v>27</v>
      </c>
      <c r="E17" s="8" t="s">
        <v>27</v>
      </c>
      <c r="G17" s="8" t="s">
        <v>27</v>
      </c>
      <c r="J17" s="8" t="s">
        <v>27</v>
      </c>
      <c r="L17" s="8" t="s">
        <v>27</v>
      </c>
      <c r="M17" s="11" t="s">
        <v>27</v>
      </c>
      <c r="S17" s="7" t="s">
        <v>27</v>
      </c>
      <c r="V17" s="40" t="s">
        <v>27</v>
      </c>
      <c r="X17" s="8" t="s">
        <v>27</v>
      </c>
    </row>
    <row r="18" spans="1:28">
      <c r="A18" s="1">
        <f>Papers!A15</f>
        <v>13</v>
      </c>
      <c r="D18" s="7" t="s">
        <v>27</v>
      </c>
      <c r="E18" s="8" t="s">
        <v>27</v>
      </c>
      <c r="G18" s="8" t="s">
        <v>27</v>
      </c>
      <c r="K18" s="11" t="s">
        <v>27</v>
      </c>
      <c r="L18" s="8" t="s">
        <v>27</v>
      </c>
      <c r="M18" s="11" t="s">
        <v>27</v>
      </c>
      <c r="V18" s="40" t="s">
        <v>27</v>
      </c>
      <c r="X18" s="8" t="s">
        <v>27</v>
      </c>
    </row>
    <row r="19" spans="1:28">
      <c r="A19" s="1">
        <f>Papers!A16</f>
        <v>14</v>
      </c>
      <c r="D19" s="7" t="s">
        <v>27</v>
      </c>
      <c r="E19" s="8" t="s">
        <v>27</v>
      </c>
      <c r="H19" s="11" t="s">
        <v>27</v>
      </c>
      <c r="J19" s="8" t="s">
        <v>27</v>
      </c>
      <c r="L19" s="8" t="s">
        <v>27</v>
      </c>
      <c r="M19" s="11" t="s">
        <v>27</v>
      </c>
      <c r="V19" s="40" t="s">
        <v>27</v>
      </c>
      <c r="X19" s="8" t="s">
        <v>27</v>
      </c>
    </row>
    <row r="20" spans="1:28">
      <c r="A20" s="1">
        <f>Papers!A17</f>
        <v>15</v>
      </c>
      <c r="C20" s="8" t="s">
        <v>27</v>
      </c>
      <c r="E20" s="8" t="s">
        <v>27</v>
      </c>
      <c r="G20" s="8" t="s">
        <v>27</v>
      </c>
      <c r="L20" s="8" t="s">
        <v>27</v>
      </c>
      <c r="M20" s="11" t="s">
        <v>27</v>
      </c>
      <c r="Q20" s="11" t="s">
        <v>27</v>
      </c>
      <c r="T20" s="8" t="s">
        <v>27</v>
      </c>
      <c r="X20" s="8" t="s">
        <v>27</v>
      </c>
    </row>
    <row r="21" spans="1:28">
      <c r="A21" s="1">
        <f>Papers!A18</f>
        <v>16</v>
      </c>
      <c r="C21" s="8" t="s">
        <v>27</v>
      </c>
      <c r="E21" s="8" t="s">
        <v>27</v>
      </c>
      <c r="I21" s="7" t="s">
        <v>27</v>
      </c>
      <c r="K21" s="11" t="s">
        <v>27</v>
      </c>
      <c r="L21" s="8" t="s">
        <v>27</v>
      </c>
      <c r="M21" s="11" t="s">
        <v>27</v>
      </c>
      <c r="W21" s="7" t="s">
        <v>27</v>
      </c>
      <c r="X21" s="8" t="s">
        <v>27</v>
      </c>
    </row>
    <row r="22" spans="1:28">
      <c r="A22" s="1">
        <f>Papers!A19</f>
        <v>17</v>
      </c>
      <c r="D22" s="7" t="s">
        <v>27</v>
      </c>
      <c r="E22" s="8" t="s">
        <v>27</v>
      </c>
      <c r="G22" s="8" t="s">
        <v>27</v>
      </c>
      <c r="L22" s="8" t="s">
        <v>27</v>
      </c>
      <c r="M22" s="11" t="s">
        <v>27</v>
      </c>
      <c r="Q22" s="11" t="s">
        <v>27</v>
      </c>
      <c r="U22" s="40" t="s">
        <v>27</v>
      </c>
      <c r="Z22" s="40" t="s">
        <v>27</v>
      </c>
    </row>
    <row r="23" spans="1:28">
      <c r="A23" s="1">
        <f>Papers!A20</f>
        <v>18</v>
      </c>
      <c r="D23" s="7" t="s">
        <v>27</v>
      </c>
      <c r="E23" s="8" t="s">
        <v>27</v>
      </c>
      <c r="G23" s="8" t="s">
        <v>27</v>
      </c>
      <c r="K23" s="11"/>
      <c r="L23" s="8" t="s">
        <v>27</v>
      </c>
      <c r="M23" s="11" t="s">
        <v>27</v>
      </c>
      <c r="T23" s="8" t="s">
        <v>27</v>
      </c>
      <c r="V23" s="40"/>
      <c r="X23" s="8"/>
      <c r="Y23" s="40" t="s">
        <v>27</v>
      </c>
    </row>
    <row r="24" spans="1:28">
      <c r="A24" s="1">
        <f>Papers!A21</f>
        <v>19</v>
      </c>
      <c r="D24" s="7" t="s">
        <v>27</v>
      </c>
      <c r="E24" s="8" t="s">
        <v>27</v>
      </c>
      <c r="G24" s="8" t="s">
        <v>27</v>
      </c>
      <c r="K24" s="11" t="s">
        <v>27</v>
      </c>
      <c r="L24" s="8" t="s">
        <v>27</v>
      </c>
      <c r="M24" s="11" t="s">
        <v>27</v>
      </c>
      <c r="W24" s="7" t="s">
        <v>27</v>
      </c>
      <c r="X24" s="8" t="s">
        <v>27</v>
      </c>
    </row>
    <row r="25" spans="1:28">
      <c r="A25" s="1">
        <f>Papers!A22</f>
        <v>20</v>
      </c>
      <c r="C25" s="8" t="s">
        <v>27</v>
      </c>
      <c r="E25" s="8" t="s">
        <v>27</v>
      </c>
      <c r="G25" s="8" t="s">
        <v>27</v>
      </c>
      <c r="K25" s="11" t="s">
        <v>27</v>
      </c>
      <c r="L25" s="8" t="s">
        <v>27</v>
      </c>
      <c r="M25" s="11" t="s">
        <v>27</v>
      </c>
      <c r="W25" s="7" t="s">
        <v>27</v>
      </c>
      <c r="X25" s="8" t="s">
        <v>27</v>
      </c>
    </row>
    <row r="26" spans="1:28">
      <c r="A26" s="1">
        <f>Papers!A23</f>
        <v>21</v>
      </c>
      <c r="C26" s="8" t="s">
        <v>27</v>
      </c>
      <c r="E26" s="8" t="s">
        <v>27</v>
      </c>
      <c r="H26" s="11" t="s">
        <v>27</v>
      </c>
      <c r="K26" s="11" t="s">
        <v>27</v>
      </c>
      <c r="L26" s="8" t="s">
        <v>27</v>
      </c>
      <c r="M26" s="11" t="s">
        <v>27</v>
      </c>
      <c r="V26" s="40" t="s">
        <v>27</v>
      </c>
      <c r="X26" s="8" t="s">
        <v>27</v>
      </c>
    </row>
    <row r="27" spans="1:28">
      <c r="A27" s="1" t="str">
        <f>Papers!A24</f>
        <v>21-b</v>
      </c>
      <c r="C27" s="8" t="s">
        <v>27</v>
      </c>
      <c r="E27" s="8" t="s">
        <v>27</v>
      </c>
      <c r="H27" s="11" t="s">
        <v>27</v>
      </c>
      <c r="K27" s="11" t="s">
        <v>27</v>
      </c>
      <c r="L27" s="8" t="s">
        <v>27</v>
      </c>
      <c r="M27" s="11" t="s">
        <v>27</v>
      </c>
      <c r="T27" s="8" t="s">
        <v>27</v>
      </c>
      <c r="X27" s="8" t="s">
        <v>27</v>
      </c>
    </row>
    <row r="28" spans="1:28">
      <c r="A28" s="1">
        <f>Papers!A25</f>
        <v>22</v>
      </c>
      <c r="D28" s="7" t="s">
        <v>27</v>
      </c>
      <c r="E28" s="8" t="s">
        <v>27</v>
      </c>
      <c r="G28" s="8" t="s">
        <v>27</v>
      </c>
      <c r="K28" s="11" t="s">
        <v>27</v>
      </c>
      <c r="L28" s="8" t="s">
        <v>27</v>
      </c>
      <c r="M28" s="11" t="s">
        <v>27</v>
      </c>
      <c r="W28" s="7" t="s">
        <v>27</v>
      </c>
      <c r="X28" s="8" t="s">
        <v>27</v>
      </c>
    </row>
    <row r="29" spans="1:28">
      <c r="A29" s="1">
        <f>Papers!A26</f>
        <v>23</v>
      </c>
      <c r="D29" s="7" t="s">
        <v>27</v>
      </c>
      <c r="E29" s="8" t="s">
        <v>27</v>
      </c>
      <c r="G29" s="8" t="s">
        <v>27</v>
      </c>
      <c r="J29" s="8" t="s">
        <v>27</v>
      </c>
      <c r="L29" s="8" t="s">
        <v>27</v>
      </c>
      <c r="M29" s="11" t="s">
        <v>27</v>
      </c>
      <c r="V29" s="40" t="s">
        <v>27</v>
      </c>
      <c r="X29" s="8" t="s">
        <v>27</v>
      </c>
    </row>
    <row r="30" spans="1:28">
      <c r="A30" s="1">
        <f>Papers!A27</f>
        <v>24</v>
      </c>
      <c r="D30" s="7" t="s">
        <v>27</v>
      </c>
      <c r="E30" s="8" t="s">
        <v>27</v>
      </c>
      <c r="H30" s="11" t="s">
        <v>27</v>
      </c>
      <c r="K30" s="11" t="s">
        <v>27</v>
      </c>
      <c r="L30" s="8" t="s">
        <v>27</v>
      </c>
      <c r="M30" s="11" t="s">
        <v>27</v>
      </c>
      <c r="R30" s="11" t="s">
        <v>27</v>
      </c>
      <c r="V30" s="40" t="s">
        <v>27</v>
      </c>
      <c r="X30" s="8" t="s">
        <v>27</v>
      </c>
    </row>
    <row r="31" spans="1:28">
      <c r="A31" s="1">
        <f>Papers!A28</f>
        <v>25</v>
      </c>
      <c r="D31" s="7" t="s">
        <v>27</v>
      </c>
      <c r="E31" s="8" t="s">
        <v>27</v>
      </c>
      <c r="G31" s="8" t="s">
        <v>27</v>
      </c>
      <c r="L31" s="8" t="s">
        <v>27</v>
      </c>
      <c r="S31" s="7" t="s">
        <v>27</v>
      </c>
      <c r="V31" s="40" t="s">
        <v>27</v>
      </c>
      <c r="X31" s="8" t="s">
        <v>27</v>
      </c>
    </row>
    <row r="32" spans="1:28">
      <c r="A32" s="1">
        <f>Papers!A29</f>
        <v>26</v>
      </c>
      <c r="D32" s="7" t="s">
        <v>27</v>
      </c>
      <c r="E32" s="8" t="s">
        <v>27</v>
      </c>
      <c r="G32" s="8" t="s">
        <v>27</v>
      </c>
      <c r="K32" s="11" t="s">
        <v>27</v>
      </c>
      <c r="L32" s="8" t="s">
        <v>27</v>
      </c>
      <c r="M32" s="11" t="s">
        <v>27</v>
      </c>
      <c r="V32" s="40" t="s">
        <v>27</v>
      </c>
      <c r="AB32" s="11" t="s">
        <v>27</v>
      </c>
    </row>
    <row r="33" spans="1:28">
      <c r="A33" s="1">
        <f>Papers!A30</f>
        <v>27</v>
      </c>
      <c r="D33" s="7" t="s">
        <v>27</v>
      </c>
      <c r="E33" s="8" t="s">
        <v>27</v>
      </c>
      <c r="G33" s="8" t="s">
        <v>27</v>
      </c>
      <c r="J33" s="8" t="s">
        <v>27</v>
      </c>
      <c r="L33" s="8" t="s">
        <v>27</v>
      </c>
      <c r="M33" s="11" t="s">
        <v>27</v>
      </c>
      <c r="V33" s="40" t="s">
        <v>27</v>
      </c>
      <c r="X33" s="8" t="s">
        <v>27</v>
      </c>
    </row>
    <row r="34" spans="1:28">
      <c r="A34" s="1">
        <f>Papers!A31</f>
        <v>28</v>
      </c>
      <c r="D34" s="7" t="s">
        <v>27</v>
      </c>
      <c r="E34" s="8" t="s">
        <v>27</v>
      </c>
      <c r="G34" s="8" t="s">
        <v>27</v>
      </c>
      <c r="K34" s="7" t="s">
        <v>27</v>
      </c>
      <c r="M34" s="11" t="s">
        <v>27</v>
      </c>
      <c r="S34" s="7" t="s">
        <v>27</v>
      </c>
      <c r="V34" s="40" t="s">
        <v>27</v>
      </c>
      <c r="X34" s="8" t="s">
        <v>27</v>
      </c>
    </row>
    <row r="35" spans="1:28">
      <c r="A35" s="1">
        <f>Papers!A32</f>
        <v>29</v>
      </c>
      <c r="D35" s="7" t="s">
        <v>27</v>
      </c>
      <c r="E35" s="8" t="s">
        <v>27</v>
      </c>
      <c r="G35" s="8" t="s">
        <v>27</v>
      </c>
      <c r="J35" s="8" t="s">
        <v>27</v>
      </c>
      <c r="L35" s="8" t="s">
        <v>27</v>
      </c>
      <c r="M35" s="11" t="s">
        <v>27</v>
      </c>
      <c r="S35" s="7" t="s">
        <v>27</v>
      </c>
      <c r="V35" s="40" t="s">
        <v>27</v>
      </c>
      <c r="AB35" s="11" t="s">
        <v>27</v>
      </c>
    </row>
    <row r="36" spans="1:28">
      <c r="A36" s="1">
        <f>Papers!A33</f>
        <v>30</v>
      </c>
      <c r="D36" s="7" t="s">
        <v>27</v>
      </c>
      <c r="E36" s="8" t="s">
        <v>27</v>
      </c>
      <c r="H36" s="11" t="s">
        <v>27</v>
      </c>
      <c r="J36" s="8" t="s">
        <v>27</v>
      </c>
      <c r="L36" s="8" t="s">
        <v>27</v>
      </c>
      <c r="M36" s="11" t="s">
        <v>27</v>
      </c>
      <c r="P36" s="11"/>
      <c r="V36" s="40" t="s">
        <v>27</v>
      </c>
      <c r="X36" s="8" t="s">
        <v>27</v>
      </c>
    </row>
    <row r="37" spans="1:28">
      <c r="A37" s="1">
        <f>Papers!A34</f>
        <v>31</v>
      </c>
      <c r="D37" s="7" t="s">
        <v>27</v>
      </c>
      <c r="E37" s="8" t="s">
        <v>27</v>
      </c>
      <c r="H37" s="11" t="s">
        <v>27</v>
      </c>
      <c r="K37" s="7" t="s">
        <v>27</v>
      </c>
      <c r="L37" s="8" t="s">
        <v>27</v>
      </c>
      <c r="M37" s="11" t="s">
        <v>27</v>
      </c>
      <c r="V37" s="40" t="s">
        <v>27</v>
      </c>
      <c r="X37" s="8" t="s">
        <v>27</v>
      </c>
    </row>
    <row r="38" spans="1:28">
      <c r="A38" s="1">
        <f>Papers!A35</f>
        <v>32</v>
      </c>
      <c r="D38" s="7" t="s">
        <v>27</v>
      </c>
      <c r="F38" s="7" t="s">
        <v>27</v>
      </c>
      <c r="G38" s="8" t="s">
        <v>27</v>
      </c>
      <c r="J38" s="8" t="s">
        <v>27</v>
      </c>
      <c r="L38" s="8" t="s">
        <v>27</v>
      </c>
      <c r="M38" s="11" t="s">
        <v>27</v>
      </c>
      <c r="R38" s="11" t="s">
        <v>27</v>
      </c>
      <c r="S38" s="7" t="s">
        <v>27</v>
      </c>
      <c r="U38" s="40" t="s">
        <v>27</v>
      </c>
      <c r="W38" s="7"/>
      <c r="X38" s="8" t="s">
        <v>27</v>
      </c>
    </row>
    <row r="39" spans="1:28">
      <c r="A39" s="1">
        <f>Papers!A36</f>
        <v>33</v>
      </c>
      <c r="D39" s="7" t="s">
        <v>27</v>
      </c>
      <c r="E39" s="8" t="s">
        <v>27</v>
      </c>
      <c r="G39" s="8" t="s">
        <v>27</v>
      </c>
      <c r="K39" s="7" t="s">
        <v>27</v>
      </c>
      <c r="L39" s="8" t="s">
        <v>27</v>
      </c>
      <c r="M39" s="11" t="s">
        <v>27</v>
      </c>
      <c r="W39" s="7" t="s">
        <v>27</v>
      </c>
      <c r="AA39" s="40" t="s">
        <v>27</v>
      </c>
    </row>
    <row r="40" spans="1:28">
      <c r="A40" s="1">
        <f>Papers!A37</f>
        <v>34</v>
      </c>
      <c r="D40" s="7" t="s">
        <v>27</v>
      </c>
      <c r="E40" s="8" t="s">
        <v>27</v>
      </c>
      <c r="G40" s="8" t="s">
        <v>27</v>
      </c>
      <c r="J40" s="8" t="s">
        <v>27</v>
      </c>
      <c r="L40" s="8" t="s">
        <v>27</v>
      </c>
      <c r="N40" s="11" t="s">
        <v>27</v>
      </c>
      <c r="P40" s="11" t="s">
        <v>27</v>
      </c>
      <c r="U40" s="40" t="s">
        <v>27</v>
      </c>
      <c r="X40" s="8" t="s">
        <v>27</v>
      </c>
    </row>
    <row r="41" spans="1:28">
      <c r="A41" s="1">
        <f>Papers!A38</f>
        <v>35</v>
      </c>
      <c r="D41" s="7" t="s">
        <v>27</v>
      </c>
      <c r="E41" s="8" t="s">
        <v>27</v>
      </c>
      <c r="G41" s="8" t="s">
        <v>27</v>
      </c>
      <c r="L41" s="8" t="s">
        <v>27</v>
      </c>
      <c r="M41" s="11" t="s">
        <v>27</v>
      </c>
      <c r="N41" s="11" t="s">
        <v>27</v>
      </c>
      <c r="T41" s="8" t="s">
        <v>27</v>
      </c>
      <c r="X41" s="8" t="s">
        <v>27</v>
      </c>
    </row>
    <row r="42" spans="1:28">
      <c r="A42" s="1">
        <f>Papers!A39</f>
        <v>36</v>
      </c>
      <c r="D42" s="7" t="s">
        <v>27</v>
      </c>
      <c r="E42" s="8" t="s">
        <v>27</v>
      </c>
      <c r="G42" s="8" t="s">
        <v>27</v>
      </c>
      <c r="J42" s="8" t="s">
        <v>27</v>
      </c>
      <c r="L42" s="8" t="s">
        <v>27</v>
      </c>
      <c r="M42" s="11" t="s">
        <v>27</v>
      </c>
      <c r="Q42" s="11" t="s">
        <v>27</v>
      </c>
      <c r="S42" s="7"/>
      <c r="T42" s="8" t="s">
        <v>27</v>
      </c>
      <c r="V42" s="40"/>
      <c r="X42" s="8" t="s">
        <v>27</v>
      </c>
      <c r="Y42" s="40" t="s">
        <v>27</v>
      </c>
    </row>
    <row r="43" spans="1:28">
      <c r="A43" s="1">
        <f>Papers!A40</f>
        <v>37</v>
      </c>
      <c r="D43" s="7" t="s">
        <v>27</v>
      </c>
      <c r="E43" s="8" t="s">
        <v>27</v>
      </c>
      <c r="G43" s="8" t="s">
        <v>27</v>
      </c>
      <c r="J43" s="8"/>
      <c r="K43" s="7" t="s">
        <v>27</v>
      </c>
      <c r="L43" s="8" t="s">
        <v>27</v>
      </c>
      <c r="M43" s="11" t="s">
        <v>27</v>
      </c>
      <c r="T43" s="8" t="s">
        <v>27</v>
      </c>
      <c r="X43" s="8" t="s">
        <v>27</v>
      </c>
    </row>
    <row r="44" spans="1:28">
      <c r="A44" s="1">
        <f>Papers!A41</f>
        <v>38</v>
      </c>
      <c r="D44" s="7" t="s">
        <v>27</v>
      </c>
      <c r="E44" s="8" t="s">
        <v>27</v>
      </c>
      <c r="H44" s="11" t="s">
        <v>27</v>
      </c>
      <c r="J44" s="8" t="s">
        <v>27</v>
      </c>
      <c r="L44" s="8" t="s">
        <v>27</v>
      </c>
      <c r="M44" s="11" t="s">
        <v>27</v>
      </c>
      <c r="V44" s="40" t="s">
        <v>27</v>
      </c>
      <c r="X44" s="8" t="s">
        <v>27</v>
      </c>
    </row>
    <row r="45" spans="1:28">
      <c r="A45" s="1">
        <f>Papers!A42</f>
        <v>39</v>
      </c>
      <c r="D45" s="7" t="s">
        <v>27</v>
      </c>
      <c r="E45" s="8" t="s">
        <v>27</v>
      </c>
      <c r="G45" s="8" t="s">
        <v>27</v>
      </c>
      <c r="J45" s="8"/>
      <c r="L45" s="8" t="s">
        <v>27</v>
      </c>
      <c r="M45" s="11" t="s">
        <v>27</v>
      </c>
      <c r="R45" s="11"/>
      <c r="S45" s="7"/>
      <c r="V45" s="40" t="s">
        <v>27</v>
      </c>
      <c r="Y45" s="40" t="s">
        <v>27</v>
      </c>
    </row>
    <row r="46" spans="1:28">
      <c r="A46" s="1">
        <f>Papers!A43</f>
        <v>40</v>
      </c>
      <c r="D46" s="7" t="s">
        <v>27</v>
      </c>
      <c r="E46" s="8" t="s">
        <v>27</v>
      </c>
      <c r="G46" s="8" t="s">
        <v>27</v>
      </c>
      <c r="J46" s="8" t="s">
        <v>27</v>
      </c>
      <c r="L46" s="8" t="s">
        <v>27</v>
      </c>
      <c r="S46" s="7" t="s">
        <v>27</v>
      </c>
      <c r="U46" s="40" t="s">
        <v>27</v>
      </c>
      <c r="X46" s="8" t="s">
        <v>27</v>
      </c>
    </row>
    <row r="47" spans="1:28">
      <c r="A47" s="1">
        <f>Papers!A44</f>
        <v>41</v>
      </c>
      <c r="D47" s="7" t="s">
        <v>27</v>
      </c>
      <c r="F47" s="7" t="s">
        <v>27</v>
      </c>
      <c r="G47" s="8" t="s">
        <v>27</v>
      </c>
      <c r="K47" s="7" t="s">
        <v>27</v>
      </c>
      <c r="L47" s="8" t="s">
        <v>27</v>
      </c>
      <c r="M47" s="11" t="s">
        <v>27</v>
      </c>
      <c r="S47" s="7" t="s">
        <v>27</v>
      </c>
      <c r="W47" s="7" t="s">
        <v>27</v>
      </c>
      <c r="X47" s="8" t="s">
        <v>27</v>
      </c>
    </row>
    <row r="48" spans="1:28">
      <c r="A48" s="1">
        <f>Papers!A45</f>
        <v>42</v>
      </c>
      <c r="D48" s="7" t="s">
        <v>27</v>
      </c>
      <c r="E48" s="8" t="s">
        <v>27</v>
      </c>
      <c r="H48" s="11" t="s">
        <v>27</v>
      </c>
      <c r="J48" s="8" t="s">
        <v>27</v>
      </c>
      <c r="L48" s="8" t="s">
        <v>27</v>
      </c>
      <c r="M48" s="11" t="s">
        <v>27</v>
      </c>
      <c r="S48" s="7" t="s">
        <v>27</v>
      </c>
      <c r="V48" s="40" t="s">
        <v>27</v>
      </c>
      <c r="W48" s="7" t="s">
        <v>27</v>
      </c>
      <c r="X48" s="8" t="s">
        <v>27</v>
      </c>
    </row>
    <row r="49" spans="1:29">
      <c r="A49" s="1">
        <f>Papers!A46</f>
        <v>43</v>
      </c>
      <c r="D49" s="7" t="s">
        <v>27</v>
      </c>
      <c r="E49" s="8" t="s">
        <v>27</v>
      </c>
      <c r="G49" s="8" t="s">
        <v>27</v>
      </c>
      <c r="K49" s="7" t="s">
        <v>27</v>
      </c>
      <c r="L49" s="8" t="s">
        <v>27</v>
      </c>
      <c r="M49" s="11" t="s">
        <v>27</v>
      </c>
      <c r="P49" s="11" t="s">
        <v>27</v>
      </c>
      <c r="V49" s="40" t="s">
        <v>27</v>
      </c>
      <c r="X49" s="8" t="s">
        <v>27</v>
      </c>
    </row>
    <row r="50" spans="1:29" s="31" customFormat="1">
      <c r="A50" s="33">
        <f>Papers!A47</f>
        <v>44</v>
      </c>
      <c r="C50" s="10"/>
      <c r="D50" s="7" t="s">
        <v>27</v>
      </c>
      <c r="E50" s="8" t="s">
        <v>27</v>
      </c>
      <c r="F50" s="32"/>
      <c r="G50" s="8" t="s">
        <v>27</v>
      </c>
      <c r="I50" s="32"/>
      <c r="J50" s="8" t="s">
        <v>27</v>
      </c>
      <c r="K50" s="32"/>
      <c r="L50" s="8" t="s">
        <v>27</v>
      </c>
      <c r="M50" s="11" t="s">
        <v>27</v>
      </c>
      <c r="S50" s="32"/>
      <c r="U50" s="40" t="s">
        <v>27</v>
      </c>
      <c r="W50" s="32"/>
      <c r="Y50" s="11" t="s">
        <v>27</v>
      </c>
      <c r="AA50" s="52"/>
      <c r="AC50" s="57"/>
    </row>
    <row r="51" spans="1:29" s="31" customFormat="1">
      <c r="A51" s="33">
        <f>Papers!A48</f>
        <v>45</v>
      </c>
      <c r="C51" s="10"/>
      <c r="D51" s="7" t="s">
        <v>27</v>
      </c>
      <c r="E51" s="8" t="s">
        <v>27</v>
      </c>
      <c r="F51" s="32"/>
      <c r="G51" s="8" t="s">
        <v>27</v>
      </c>
      <c r="I51" s="32"/>
      <c r="J51" s="8" t="s">
        <v>27</v>
      </c>
      <c r="K51" s="32"/>
      <c r="L51" s="8" t="s">
        <v>27</v>
      </c>
      <c r="S51" s="7" t="s">
        <v>27</v>
      </c>
      <c r="T51" s="8" t="s">
        <v>27</v>
      </c>
      <c r="U51" s="52"/>
      <c r="W51" s="32"/>
      <c r="X51" s="8" t="s">
        <v>27</v>
      </c>
      <c r="AA51" s="52"/>
      <c r="AC51" s="57"/>
    </row>
    <row r="52" spans="1:29">
      <c r="A52" s="1">
        <f>Papers!A49</f>
        <v>46</v>
      </c>
      <c r="D52" s="7" t="s">
        <v>27</v>
      </c>
      <c r="E52" s="8" t="s">
        <v>27</v>
      </c>
      <c r="G52" s="8" t="s">
        <v>27</v>
      </c>
      <c r="J52" s="8" t="s">
        <v>27</v>
      </c>
      <c r="L52" s="8" t="s">
        <v>27</v>
      </c>
      <c r="M52" s="11" t="s">
        <v>27</v>
      </c>
      <c r="R52" s="11" t="s">
        <v>27</v>
      </c>
      <c r="U52" s="40" t="s">
        <v>27</v>
      </c>
      <c r="Y52" s="11" t="s">
        <v>27</v>
      </c>
    </row>
    <row r="53" spans="1:29">
      <c r="A53" s="1">
        <f>Papers!A50</f>
        <v>47</v>
      </c>
      <c r="D53" s="7" t="s">
        <v>27</v>
      </c>
      <c r="E53" s="8" t="s">
        <v>27</v>
      </c>
      <c r="G53" s="8" t="s">
        <v>27</v>
      </c>
      <c r="J53" s="8" t="s">
        <v>27</v>
      </c>
      <c r="L53" s="8" t="s">
        <v>27</v>
      </c>
      <c r="M53" s="11" t="s">
        <v>27</v>
      </c>
      <c r="U53" s="40" t="s">
        <v>27</v>
      </c>
      <c r="Y53" s="11" t="s">
        <v>27</v>
      </c>
    </row>
    <row r="54" spans="1:29">
      <c r="A54" s="1">
        <f>Papers!A51</f>
        <v>48</v>
      </c>
      <c r="D54" s="7" t="s">
        <v>27</v>
      </c>
      <c r="E54" s="8" t="s">
        <v>27</v>
      </c>
      <c r="G54" s="8" t="s">
        <v>27</v>
      </c>
      <c r="J54" s="8" t="s">
        <v>27</v>
      </c>
      <c r="L54" s="8" t="s">
        <v>27</v>
      </c>
      <c r="M54" s="11" t="s">
        <v>27</v>
      </c>
      <c r="U54" s="40" t="s">
        <v>27</v>
      </c>
      <c r="Y54" s="11" t="s">
        <v>27</v>
      </c>
    </row>
    <row r="55" spans="1:29">
      <c r="A55" s="1">
        <f>Papers!A52</f>
        <v>49</v>
      </c>
      <c r="D55" s="7" t="s">
        <v>27</v>
      </c>
      <c r="E55" s="8" t="s">
        <v>27</v>
      </c>
      <c r="G55" s="8" t="s">
        <v>27</v>
      </c>
      <c r="J55" s="8" t="s">
        <v>27</v>
      </c>
      <c r="L55" s="8" t="s">
        <v>27</v>
      </c>
      <c r="M55" s="11" t="s">
        <v>27</v>
      </c>
      <c r="O55" s="11" t="s">
        <v>27</v>
      </c>
      <c r="R55" s="11" t="s">
        <v>27</v>
      </c>
      <c r="U55" s="40" t="s">
        <v>27</v>
      </c>
      <c r="Y55" s="11" t="s">
        <v>27</v>
      </c>
    </row>
    <row r="56" spans="1:29">
      <c r="A56" s="1" t="str">
        <f>Papers!A53</f>
        <v>49-b</v>
      </c>
      <c r="D56" s="7" t="s">
        <v>27</v>
      </c>
      <c r="E56" s="8" t="s">
        <v>27</v>
      </c>
      <c r="G56" s="8" t="s">
        <v>27</v>
      </c>
      <c r="J56" s="8" t="s">
        <v>27</v>
      </c>
      <c r="L56" s="8" t="s">
        <v>27</v>
      </c>
      <c r="M56" s="11" t="s">
        <v>27</v>
      </c>
      <c r="O56" s="11" t="s">
        <v>27</v>
      </c>
      <c r="R56" s="11" t="s">
        <v>27</v>
      </c>
      <c r="T56" s="8" t="s">
        <v>27</v>
      </c>
      <c r="X56" s="8" t="s">
        <v>27</v>
      </c>
    </row>
    <row r="57" spans="1:29">
      <c r="A57" s="1">
        <f>Papers!A54</f>
        <v>50</v>
      </c>
      <c r="D57" s="7" t="s">
        <v>27</v>
      </c>
      <c r="E57" s="8" t="s">
        <v>27</v>
      </c>
      <c r="G57" s="8" t="s">
        <v>27</v>
      </c>
      <c r="J57" s="8" t="s">
        <v>27</v>
      </c>
      <c r="K57" s="7"/>
      <c r="L57" s="8" t="s">
        <v>27</v>
      </c>
      <c r="M57" s="11" t="s">
        <v>27</v>
      </c>
      <c r="T57" s="8"/>
      <c r="U57" s="40" t="s">
        <v>27</v>
      </c>
      <c r="X57" s="8"/>
      <c r="Y57" s="11" t="s">
        <v>27</v>
      </c>
    </row>
    <row r="58" spans="1:29">
      <c r="A58" s="1">
        <f>Papers!A55</f>
        <v>51</v>
      </c>
      <c r="D58" s="7" t="s">
        <v>27</v>
      </c>
      <c r="E58" s="8" t="s">
        <v>27</v>
      </c>
      <c r="G58" s="8" t="s">
        <v>27</v>
      </c>
      <c r="K58" s="7" t="s">
        <v>27</v>
      </c>
      <c r="L58" s="8" t="s">
        <v>27</v>
      </c>
      <c r="M58" s="11" t="s">
        <v>27</v>
      </c>
      <c r="S58" s="7" t="s">
        <v>27</v>
      </c>
      <c r="V58" s="40" t="s">
        <v>27</v>
      </c>
      <c r="X58" s="8" t="s">
        <v>27</v>
      </c>
    </row>
    <row r="59" spans="1:29">
      <c r="A59" s="1">
        <f>Papers!A56</f>
        <v>52</v>
      </c>
      <c r="D59" s="7" t="s">
        <v>27</v>
      </c>
      <c r="E59" s="8" t="s">
        <v>27</v>
      </c>
      <c r="G59" s="8" t="s">
        <v>27</v>
      </c>
      <c r="J59" s="8" t="s">
        <v>27</v>
      </c>
      <c r="L59" s="8" t="s">
        <v>27</v>
      </c>
      <c r="M59" s="11" t="s">
        <v>27</v>
      </c>
      <c r="V59" s="40" t="s">
        <v>27</v>
      </c>
      <c r="X59" s="8" t="s">
        <v>27</v>
      </c>
    </row>
    <row r="60" spans="1:29" s="31" customFormat="1">
      <c r="A60" s="33">
        <f>Papers!A57</f>
        <v>53</v>
      </c>
      <c r="C60" s="8"/>
      <c r="D60" s="7" t="s">
        <v>27</v>
      </c>
      <c r="E60" s="8" t="s">
        <v>27</v>
      </c>
      <c r="F60" s="32"/>
      <c r="G60" s="8" t="s">
        <v>27</v>
      </c>
      <c r="I60" s="32"/>
      <c r="J60" s="8" t="s">
        <v>27</v>
      </c>
      <c r="K60" s="32"/>
      <c r="L60" s="8" t="s">
        <v>27</v>
      </c>
      <c r="M60" s="11" t="s">
        <v>27</v>
      </c>
      <c r="S60" s="32"/>
      <c r="U60" s="52"/>
      <c r="V60" s="40" t="s">
        <v>27</v>
      </c>
      <c r="W60" s="32"/>
      <c r="X60" s="8" t="s">
        <v>27</v>
      </c>
      <c r="AA60" s="52"/>
      <c r="AC60" s="57"/>
    </row>
    <row r="61" spans="1:29">
      <c r="A61" s="1">
        <f>Papers!A58</f>
        <v>54</v>
      </c>
      <c r="D61" s="7" t="s">
        <v>27</v>
      </c>
      <c r="E61" s="8" t="s">
        <v>27</v>
      </c>
      <c r="H61" s="11" t="s">
        <v>27</v>
      </c>
      <c r="K61" s="7" t="s">
        <v>27</v>
      </c>
      <c r="L61" s="8" t="s">
        <v>27</v>
      </c>
      <c r="M61" s="11" t="s">
        <v>27</v>
      </c>
      <c r="T61" s="8" t="s">
        <v>27</v>
      </c>
      <c r="X61" s="8" t="s">
        <v>27</v>
      </c>
    </row>
    <row r="62" spans="1:29">
      <c r="A62" s="1">
        <f>Papers!A59</f>
        <v>55</v>
      </c>
      <c r="D62" s="7" t="s">
        <v>27</v>
      </c>
      <c r="E62" s="8" t="s">
        <v>27</v>
      </c>
      <c r="H62" s="11" t="s">
        <v>27</v>
      </c>
      <c r="J62" s="8" t="s">
        <v>27</v>
      </c>
      <c r="L62" s="8" t="s">
        <v>27</v>
      </c>
      <c r="M62" s="11" t="s">
        <v>27</v>
      </c>
      <c r="T62" s="8" t="s">
        <v>27</v>
      </c>
      <c r="V62" s="40" t="s">
        <v>27</v>
      </c>
      <c r="X62" s="8" t="s">
        <v>27</v>
      </c>
    </row>
    <row r="63" spans="1:29" s="31" customFormat="1">
      <c r="A63" s="33">
        <f>Papers!A60</f>
        <v>56</v>
      </c>
      <c r="C63" s="10"/>
      <c r="D63" s="7" t="s">
        <v>27</v>
      </c>
      <c r="E63" s="8" t="s">
        <v>27</v>
      </c>
      <c r="F63" s="32"/>
      <c r="G63" s="8" t="s">
        <v>27</v>
      </c>
      <c r="I63" s="32"/>
      <c r="K63" s="32"/>
      <c r="L63" s="8" t="s">
        <v>27</v>
      </c>
      <c r="M63" s="11" t="s">
        <v>27</v>
      </c>
      <c r="Q63" s="11" t="s">
        <v>27</v>
      </c>
      <c r="S63" s="32"/>
      <c r="U63" s="40" t="s">
        <v>27</v>
      </c>
      <c r="W63" s="32"/>
      <c r="Y63" s="11" t="s">
        <v>27</v>
      </c>
      <c r="AA63" s="52"/>
      <c r="AC63" s="57"/>
    </row>
    <row r="64" spans="1:29">
      <c r="A64" s="1">
        <f>Papers!A61</f>
        <v>57</v>
      </c>
      <c r="D64" s="7" t="s">
        <v>27</v>
      </c>
      <c r="E64" s="8" t="s">
        <v>27</v>
      </c>
      <c r="G64" s="8" t="s">
        <v>27</v>
      </c>
      <c r="J64" s="8" t="s">
        <v>27</v>
      </c>
      <c r="L64" s="8" t="s">
        <v>27</v>
      </c>
      <c r="M64" s="11" t="s">
        <v>27</v>
      </c>
      <c r="V64" s="40" t="s">
        <v>27</v>
      </c>
      <c r="Y64" s="11" t="s">
        <v>27</v>
      </c>
    </row>
    <row r="65" spans="1:29">
      <c r="A65" s="1">
        <f>Papers!A62</f>
        <v>58</v>
      </c>
      <c r="D65" s="7" t="s">
        <v>27</v>
      </c>
      <c r="F65" s="7" t="s">
        <v>27</v>
      </c>
      <c r="G65" s="8" t="s">
        <v>27</v>
      </c>
      <c r="J65" s="8" t="s">
        <v>27</v>
      </c>
      <c r="L65" s="8" t="s">
        <v>27</v>
      </c>
      <c r="M65" s="11" t="s">
        <v>27</v>
      </c>
      <c r="S65" s="7" t="s">
        <v>27</v>
      </c>
      <c r="U65" s="40" t="s">
        <v>27</v>
      </c>
      <c r="AC65" s="7" t="s">
        <v>27</v>
      </c>
    </row>
    <row r="66" spans="1:29">
      <c r="A66" s="1">
        <f>Papers!A63</f>
        <v>59</v>
      </c>
      <c r="D66" s="7" t="s">
        <v>27</v>
      </c>
      <c r="E66" s="8" t="s">
        <v>27</v>
      </c>
      <c r="G66" s="8" t="s">
        <v>27</v>
      </c>
      <c r="L66" s="8" t="s">
        <v>27</v>
      </c>
      <c r="V66" s="40" t="s">
        <v>27</v>
      </c>
      <c r="AA66" s="40" t="s">
        <v>27</v>
      </c>
    </row>
    <row r="67" spans="1:29" s="31" customFormat="1">
      <c r="A67" s="33">
        <f>Papers!A64</f>
        <v>60</v>
      </c>
      <c r="C67" s="10"/>
      <c r="D67" s="7" t="s">
        <v>27</v>
      </c>
      <c r="F67" s="7" t="s">
        <v>27</v>
      </c>
      <c r="G67" s="8" t="s">
        <v>27</v>
      </c>
      <c r="I67" s="32"/>
      <c r="K67" s="32"/>
      <c r="L67" s="8" t="s">
        <v>27</v>
      </c>
      <c r="M67" s="11" t="s">
        <v>27</v>
      </c>
      <c r="S67" s="32"/>
      <c r="T67" s="8" t="s">
        <v>27</v>
      </c>
      <c r="U67" s="52"/>
      <c r="W67" s="32"/>
      <c r="Y67" s="11" t="s">
        <v>27</v>
      </c>
      <c r="AA67" s="40" t="s">
        <v>27</v>
      </c>
      <c r="AC67" s="57"/>
    </row>
    <row r="68" spans="1:29" s="31" customFormat="1">
      <c r="A68" s="33">
        <f>Papers!A65</f>
        <v>61</v>
      </c>
      <c r="C68" s="8" t="s">
        <v>27</v>
      </c>
      <c r="D68" s="32"/>
      <c r="E68" s="8" t="s">
        <v>27</v>
      </c>
      <c r="F68" s="32"/>
      <c r="G68" s="8" t="s">
        <v>27</v>
      </c>
      <c r="I68" s="32"/>
      <c r="K68" s="7" t="s">
        <v>27</v>
      </c>
      <c r="L68" s="8" t="s">
        <v>27</v>
      </c>
      <c r="M68" s="11" t="s">
        <v>27</v>
      </c>
      <c r="S68" s="32"/>
      <c r="U68" s="40" t="s">
        <v>27</v>
      </c>
      <c r="V68" s="40" t="s">
        <v>27</v>
      </c>
      <c r="W68" s="32"/>
      <c r="X68" s="8" t="s">
        <v>27</v>
      </c>
      <c r="AA68" s="52"/>
      <c r="AC68" s="57"/>
    </row>
    <row r="69" spans="1:29">
      <c r="A69" s="33">
        <f>Papers!A66</f>
        <v>62</v>
      </c>
      <c r="C69" s="8" t="s">
        <v>27</v>
      </c>
      <c r="F69" s="7" t="s">
        <v>27</v>
      </c>
      <c r="G69" s="8" t="s">
        <v>27</v>
      </c>
      <c r="J69" s="8" t="s">
        <v>27</v>
      </c>
      <c r="L69" s="8" t="s">
        <v>27</v>
      </c>
      <c r="V69" s="40" t="s">
        <v>27</v>
      </c>
      <c r="X69" s="8" t="s">
        <v>27</v>
      </c>
    </row>
    <row r="70" spans="1:29">
      <c r="A70" s="33">
        <f>Papers!A67</f>
        <v>63</v>
      </c>
      <c r="D70" s="7" t="s">
        <v>27</v>
      </c>
      <c r="E70" s="8" t="s">
        <v>27</v>
      </c>
      <c r="G70" s="8" t="s">
        <v>27</v>
      </c>
      <c r="L70" s="8" t="s">
        <v>27</v>
      </c>
      <c r="M70" s="11" t="s">
        <v>27</v>
      </c>
      <c r="V70" s="40" t="s">
        <v>27</v>
      </c>
      <c r="AA70" s="40" t="s">
        <v>27</v>
      </c>
    </row>
    <row r="71" spans="1:29">
      <c r="A71" s="33">
        <f>Papers!A68</f>
        <v>64</v>
      </c>
      <c r="D71" s="7" t="s">
        <v>27</v>
      </c>
      <c r="E71" s="8" t="s">
        <v>27</v>
      </c>
      <c r="I71" s="7" t="s">
        <v>27</v>
      </c>
      <c r="J71" s="8" t="s">
        <v>27</v>
      </c>
      <c r="L71" s="8" t="s">
        <v>27</v>
      </c>
      <c r="M71" s="11" t="s">
        <v>27</v>
      </c>
      <c r="V71" s="40" t="s">
        <v>27</v>
      </c>
      <c r="X71" s="8" t="s">
        <v>27</v>
      </c>
    </row>
    <row r="72" spans="1:29">
      <c r="A72" s="36">
        <f>Papers!A69</f>
        <v>65</v>
      </c>
      <c r="D72" s="7" t="s">
        <v>27</v>
      </c>
      <c r="E72" s="8" t="s">
        <v>27</v>
      </c>
      <c r="H72" s="11" t="s">
        <v>27</v>
      </c>
      <c r="J72" s="8" t="s">
        <v>27</v>
      </c>
      <c r="L72" s="8" t="s">
        <v>27</v>
      </c>
      <c r="M72" s="11" t="s">
        <v>27</v>
      </c>
      <c r="S72" s="7" t="s">
        <v>27</v>
      </c>
      <c r="V72" s="40" t="s">
        <v>27</v>
      </c>
      <c r="X72" s="8" t="s">
        <v>27</v>
      </c>
    </row>
    <row r="73" spans="1:29">
      <c r="A73" s="36">
        <f>Papers!A70</f>
        <v>66</v>
      </c>
      <c r="D73" s="7" t="s">
        <v>27</v>
      </c>
      <c r="E73" s="8" t="s">
        <v>27</v>
      </c>
      <c r="G73" s="8" t="s">
        <v>27</v>
      </c>
      <c r="K73" s="7" t="s">
        <v>27</v>
      </c>
      <c r="L73" s="8" t="s">
        <v>27</v>
      </c>
      <c r="M73" s="11" t="s">
        <v>27</v>
      </c>
      <c r="O73" s="11" t="s">
        <v>27</v>
      </c>
      <c r="U73" s="40" t="s">
        <v>27</v>
      </c>
      <c r="X73" s="8" t="s">
        <v>27</v>
      </c>
    </row>
    <row r="74" spans="1:29">
      <c r="A74" s="36">
        <f>Papers!A71</f>
        <v>67</v>
      </c>
      <c r="D74" s="7" t="s">
        <v>27</v>
      </c>
      <c r="E74" s="8" t="s">
        <v>27</v>
      </c>
      <c r="G74" s="8" t="s">
        <v>27</v>
      </c>
      <c r="J74" s="8" t="s">
        <v>27</v>
      </c>
      <c r="L74" s="8" t="s">
        <v>27</v>
      </c>
      <c r="S74" s="7" t="s">
        <v>27</v>
      </c>
      <c r="T74" s="8" t="s">
        <v>27</v>
      </c>
      <c r="X74" s="8" t="s">
        <v>27</v>
      </c>
    </row>
    <row r="75" spans="1:29">
      <c r="A75" s="36">
        <f>Papers!A72</f>
        <v>68</v>
      </c>
      <c r="D75" s="7" t="s">
        <v>27</v>
      </c>
      <c r="E75" s="8" t="s">
        <v>27</v>
      </c>
      <c r="G75" s="8" t="s">
        <v>27</v>
      </c>
      <c r="L75" s="8" t="s">
        <v>27</v>
      </c>
      <c r="M75" s="11" t="s">
        <v>27</v>
      </c>
      <c r="V75" s="40" t="s">
        <v>27</v>
      </c>
      <c r="X75" s="8" t="s">
        <v>27</v>
      </c>
    </row>
    <row r="76" spans="1:29">
      <c r="A76" s="36">
        <f>Papers!A73</f>
        <v>69</v>
      </c>
      <c r="C76" s="8" t="s">
        <v>27</v>
      </c>
      <c r="E76" s="8" t="s">
        <v>27</v>
      </c>
      <c r="G76" s="8" t="s">
        <v>27</v>
      </c>
      <c r="L76" s="8" t="s">
        <v>27</v>
      </c>
      <c r="S76" s="7" t="s">
        <v>27</v>
      </c>
      <c r="T76" s="8" t="s">
        <v>27</v>
      </c>
      <c r="U76" s="40" t="s">
        <v>27</v>
      </c>
      <c r="X76" s="8" t="s">
        <v>27</v>
      </c>
    </row>
    <row r="77" spans="1:29">
      <c r="A77" s="36">
        <f>Papers!A74</f>
        <v>70</v>
      </c>
      <c r="C77" s="8" t="s">
        <v>27</v>
      </c>
      <c r="E77" s="8" t="s">
        <v>27</v>
      </c>
      <c r="G77" s="8" t="s">
        <v>27</v>
      </c>
      <c r="K77" s="7" t="s">
        <v>27</v>
      </c>
      <c r="L77" s="8" t="s">
        <v>27</v>
      </c>
      <c r="M77" s="11" t="s">
        <v>27</v>
      </c>
      <c r="S77" s="7" t="s">
        <v>27</v>
      </c>
      <c r="V77" s="40" t="s">
        <v>27</v>
      </c>
      <c r="X77" s="8" t="s">
        <v>27</v>
      </c>
    </row>
    <row r="78" spans="1:29">
      <c r="A78" s="36">
        <f>Papers!A75</f>
        <v>71</v>
      </c>
      <c r="D78" s="7" t="s">
        <v>27</v>
      </c>
      <c r="E78" s="8" t="s">
        <v>27</v>
      </c>
      <c r="G78" s="8" t="s">
        <v>27</v>
      </c>
      <c r="L78" s="8" t="s">
        <v>27</v>
      </c>
      <c r="M78" s="11" t="s">
        <v>27</v>
      </c>
      <c r="V78" s="40" t="s">
        <v>27</v>
      </c>
      <c r="Y78" s="11" t="s">
        <v>27</v>
      </c>
      <c r="AA78" s="40" t="s">
        <v>27</v>
      </c>
    </row>
    <row r="79" spans="1:29">
      <c r="A79" s="36">
        <f>Papers!A76</f>
        <v>72</v>
      </c>
      <c r="D79" s="7" t="s">
        <v>27</v>
      </c>
      <c r="E79" s="8" t="s">
        <v>27</v>
      </c>
      <c r="G79" s="8" t="s">
        <v>27</v>
      </c>
      <c r="L79" s="8" t="s">
        <v>27</v>
      </c>
      <c r="V79" s="40" t="s">
        <v>27</v>
      </c>
      <c r="Y79" s="11" t="s">
        <v>27</v>
      </c>
    </row>
    <row r="80" spans="1:29">
      <c r="A80" s="36">
        <f>Papers!A77</f>
        <v>73</v>
      </c>
      <c r="D80" s="7" t="s">
        <v>27</v>
      </c>
      <c r="E80" s="8" t="s">
        <v>27</v>
      </c>
      <c r="G80" s="8" t="s">
        <v>27</v>
      </c>
      <c r="J80" s="8" t="s">
        <v>27</v>
      </c>
      <c r="L80" s="8" t="s">
        <v>27</v>
      </c>
      <c r="M80" s="11" t="s">
        <v>27</v>
      </c>
      <c r="N80" s="11" t="s">
        <v>27</v>
      </c>
      <c r="T80" s="8"/>
      <c r="U80" s="40" t="s">
        <v>27</v>
      </c>
      <c r="X80" s="8" t="s">
        <v>27</v>
      </c>
      <c r="Y80" s="11" t="s">
        <v>27</v>
      </c>
    </row>
    <row r="81" spans="1:27">
      <c r="A81" s="53">
        <f>Papers!A78</f>
        <v>74</v>
      </c>
      <c r="C81" s="8" t="s">
        <v>27</v>
      </c>
      <c r="F81" s="7" t="s">
        <v>27</v>
      </c>
      <c r="H81" s="11" t="s">
        <v>27</v>
      </c>
      <c r="L81" s="8" t="s">
        <v>27</v>
      </c>
      <c r="M81" s="11" t="s">
        <v>27</v>
      </c>
      <c r="V81" s="40"/>
      <c r="W81" s="7" t="s">
        <v>27</v>
      </c>
      <c r="AA81" s="40" t="s">
        <v>27</v>
      </c>
    </row>
  </sheetData>
  <mergeCells count="10">
    <mergeCell ref="T2:W2"/>
    <mergeCell ref="T3:U3"/>
    <mergeCell ref="V3:W3"/>
    <mergeCell ref="C1:AA1"/>
    <mergeCell ref="C2:D2"/>
    <mergeCell ref="E2:F2"/>
    <mergeCell ref="G2:I2"/>
    <mergeCell ref="J2:K2"/>
    <mergeCell ref="L2:S2"/>
    <mergeCell ref="X2:AC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E6902-2B2A-4D40-ABAE-03BAAC1615D7}">
  <dimension ref="A1:Q80"/>
  <sheetViews>
    <sheetView topLeftCell="C1" workbookViewId="0">
      <pane ySplit="3" topLeftCell="A4" activePane="bottomLeft" state="frozen"/>
      <selection activeCell="C1" sqref="C1"/>
      <selection pane="bottomLeft" activeCell="O80" sqref="O80"/>
    </sheetView>
  </sheetViews>
  <sheetFormatPr defaultRowHeight="15"/>
  <cols>
    <col min="1" max="1" width="9.140625" style="1"/>
    <col min="3" max="3" width="12.42578125" style="10" customWidth="1"/>
    <col min="4" max="4" width="20.140625" customWidth="1"/>
    <col min="5" max="5" width="10.85546875" style="3" customWidth="1"/>
    <col min="6" max="6" width="16.85546875" customWidth="1"/>
    <col min="7" max="7" width="16.140625" style="3" customWidth="1"/>
    <col min="8" max="8" width="12" customWidth="1"/>
    <col min="9" max="9" width="11.85546875" customWidth="1"/>
    <col min="10" max="10" width="11.42578125" style="3" customWidth="1"/>
    <col min="11" max="11" width="11" customWidth="1"/>
    <col min="12" max="12" width="12.5703125" style="3" customWidth="1"/>
    <col min="13" max="13" width="13.7109375" customWidth="1"/>
    <col min="14" max="14" width="14" style="3" customWidth="1"/>
    <col min="15" max="15" width="13.42578125" customWidth="1"/>
    <col min="16" max="16" width="15" customWidth="1"/>
    <col min="17" max="17" width="14.7109375" style="3" customWidth="1"/>
  </cols>
  <sheetData>
    <row r="1" spans="1:17">
      <c r="A1" s="1" t="s">
        <v>5</v>
      </c>
      <c r="C1" s="61" t="s">
        <v>60</v>
      </c>
      <c r="D1" s="66"/>
      <c r="E1" s="66"/>
      <c r="F1" s="66"/>
      <c r="G1" s="66"/>
      <c r="H1" s="66"/>
      <c r="I1" s="66"/>
      <c r="J1" s="66"/>
      <c r="K1" s="66"/>
      <c r="L1" s="66"/>
      <c r="M1" s="66"/>
      <c r="N1" s="66"/>
      <c r="O1" s="66"/>
      <c r="P1" s="66"/>
      <c r="Q1" s="67"/>
    </row>
    <row r="2" spans="1:17">
      <c r="C2" s="59" t="s">
        <v>61</v>
      </c>
      <c r="D2" s="68"/>
      <c r="E2" s="68"/>
      <c r="F2" s="60" t="s">
        <v>65</v>
      </c>
      <c r="G2" s="68"/>
      <c r="H2" s="59" t="s">
        <v>68</v>
      </c>
      <c r="I2" s="59"/>
      <c r="J2" s="59"/>
      <c r="K2" s="60" t="s">
        <v>72</v>
      </c>
      <c r="L2" s="60"/>
      <c r="M2" s="59" t="s">
        <v>74</v>
      </c>
      <c r="N2" s="68"/>
      <c r="O2" s="60" t="s">
        <v>77</v>
      </c>
      <c r="P2" s="60"/>
      <c r="Q2" s="70"/>
    </row>
    <row r="3" spans="1:17">
      <c r="C3" s="9" t="s">
        <v>62</v>
      </c>
      <c r="D3" s="4" t="s">
        <v>63</v>
      </c>
      <c r="E3" s="54" t="s">
        <v>64</v>
      </c>
      <c r="F3" s="5" t="s">
        <v>66</v>
      </c>
      <c r="G3" s="6" t="s">
        <v>67</v>
      </c>
      <c r="H3" s="5" t="s">
        <v>69</v>
      </c>
      <c r="I3" s="4" t="s">
        <v>70</v>
      </c>
      <c r="J3" s="12" t="s">
        <v>71</v>
      </c>
      <c r="K3" s="4" t="s">
        <v>73</v>
      </c>
      <c r="L3" s="12" t="s">
        <v>20</v>
      </c>
      <c r="M3" s="13" t="s">
        <v>75</v>
      </c>
      <c r="N3" s="21" t="s">
        <v>76</v>
      </c>
      <c r="O3" s="4" t="s">
        <v>78</v>
      </c>
      <c r="P3" s="5" t="s">
        <v>79</v>
      </c>
      <c r="Q3" s="6" t="s">
        <v>80</v>
      </c>
    </row>
    <row r="5" spans="1:17">
      <c r="A5" s="1">
        <f>Papers!A3</f>
        <v>1</v>
      </c>
      <c r="D5" s="11" t="s">
        <v>27</v>
      </c>
      <c r="E5" s="7"/>
      <c r="G5" s="7" t="s">
        <v>27</v>
      </c>
      <c r="H5" s="11" t="s">
        <v>27</v>
      </c>
      <c r="I5" s="11"/>
      <c r="J5" s="7" t="s">
        <v>27</v>
      </c>
      <c r="K5" s="11" t="s">
        <v>27</v>
      </c>
      <c r="M5" s="11" t="s">
        <v>27</v>
      </c>
      <c r="O5" s="11" t="s">
        <v>27</v>
      </c>
    </row>
    <row r="6" spans="1:17">
      <c r="A6" s="1">
        <f>Papers!A4</f>
        <v>2</v>
      </c>
      <c r="D6" s="11" t="s">
        <v>27</v>
      </c>
      <c r="F6" s="11" t="s">
        <v>27</v>
      </c>
      <c r="H6" s="11" t="s">
        <v>27</v>
      </c>
      <c r="I6" s="11" t="s">
        <v>27</v>
      </c>
      <c r="L6" s="7" t="s">
        <v>27</v>
      </c>
      <c r="M6" s="11" t="s">
        <v>27</v>
      </c>
      <c r="O6" s="11" t="s">
        <v>27</v>
      </c>
    </row>
    <row r="7" spans="1:17">
      <c r="A7" s="1">
        <f>Papers!A5</f>
        <v>3</v>
      </c>
      <c r="C7" s="8" t="s">
        <v>27</v>
      </c>
      <c r="F7" s="11" t="s">
        <v>27</v>
      </c>
      <c r="H7" s="11" t="s">
        <v>27</v>
      </c>
      <c r="K7" s="11" t="s">
        <v>27</v>
      </c>
      <c r="N7" s="7" t="s">
        <v>27</v>
      </c>
      <c r="O7" s="11" t="s">
        <v>27</v>
      </c>
    </row>
    <row r="8" spans="1:17">
      <c r="A8" s="1">
        <f>Papers!A6</f>
        <v>4</v>
      </c>
      <c r="C8" s="8" t="s">
        <v>27</v>
      </c>
      <c r="F8" s="11" t="s">
        <v>27</v>
      </c>
      <c r="H8" s="11" t="s">
        <v>27</v>
      </c>
      <c r="K8" s="11" t="s">
        <v>27</v>
      </c>
      <c r="M8" s="11" t="s">
        <v>27</v>
      </c>
      <c r="O8" s="11" t="s">
        <v>27</v>
      </c>
    </row>
    <row r="9" spans="1:17">
      <c r="A9" s="1">
        <f>Papers!A7</f>
        <v>5</v>
      </c>
      <c r="C9" s="8" t="s">
        <v>27</v>
      </c>
      <c r="F9" s="11" t="s">
        <v>27</v>
      </c>
      <c r="J9" s="7" t="s">
        <v>27</v>
      </c>
      <c r="L9" s="7" t="s">
        <v>27</v>
      </c>
      <c r="N9" s="7" t="s">
        <v>27</v>
      </c>
      <c r="O9" s="11" t="s">
        <v>27</v>
      </c>
    </row>
    <row r="10" spans="1:17">
      <c r="A10" s="1">
        <f>Papers!A8</f>
        <v>6</v>
      </c>
      <c r="C10" s="8" t="s">
        <v>27</v>
      </c>
      <c r="F10" s="11" t="s">
        <v>27</v>
      </c>
      <c r="H10" s="11" t="s">
        <v>27</v>
      </c>
      <c r="K10" s="11" t="s">
        <v>27</v>
      </c>
      <c r="N10" s="7" t="s">
        <v>27</v>
      </c>
      <c r="O10" s="11" t="s">
        <v>27</v>
      </c>
    </row>
    <row r="11" spans="1:17">
      <c r="A11" s="1">
        <f>Papers!A9</f>
        <v>7</v>
      </c>
      <c r="C11" s="8" t="s">
        <v>27</v>
      </c>
      <c r="F11" s="11" t="s">
        <v>27</v>
      </c>
      <c r="H11" s="11" t="s">
        <v>27</v>
      </c>
      <c r="K11" s="11" t="s">
        <v>27</v>
      </c>
      <c r="N11" s="7" t="s">
        <v>27</v>
      </c>
      <c r="O11" s="11" t="s">
        <v>27</v>
      </c>
    </row>
    <row r="12" spans="1:17">
      <c r="A12" s="1">
        <f>Papers!A10</f>
        <v>8</v>
      </c>
      <c r="C12" s="8" t="s">
        <v>27</v>
      </c>
      <c r="F12" s="11" t="s">
        <v>27</v>
      </c>
      <c r="H12" s="11" t="s">
        <v>27</v>
      </c>
      <c r="K12" s="11" t="s">
        <v>27</v>
      </c>
      <c r="N12" s="7" t="s">
        <v>27</v>
      </c>
      <c r="O12" s="11" t="s">
        <v>27</v>
      </c>
    </row>
    <row r="13" spans="1:17">
      <c r="A13" s="1">
        <f>Papers!A11</f>
        <v>9</v>
      </c>
      <c r="C13" s="8" t="s">
        <v>27</v>
      </c>
      <c r="F13" s="11" t="s">
        <v>27</v>
      </c>
      <c r="H13" s="11" t="s">
        <v>27</v>
      </c>
      <c r="K13" s="11" t="s">
        <v>27</v>
      </c>
      <c r="N13" s="7" t="s">
        <v>27</v>
      </c>
      <c r="P13" s="11" t="s">
        <v>27</v>
      </c>
    </row>
    <row r="14" spans="1:17">
      <c r="A14" s="1">
        <f>Papers!A12</f>
        <v>10</v>
      </c>
      <c r="C14" s="8" t="s">
        <v>27</v>
      </c>
      <c r="F14" s="11" t="s">
        <v>27</v>
      </c>
      <c r="H14" s="11" t="s">
        <v>27</v>
      </c>
      <c r="K14" s="11" t="s">
        <v>27</v>
      </c>
      <c r="N14" s="7" t="s">
        <v>27</v>
      </c>
      <c r="O14" s="11" t="s">
        <v>27</v>
      </c>
    </row>
    <row r="15" spans="1:17">
      <c r="A15" s="1">
        <f>Papers!A13</f>
        <v>11</v>
      </c>
      <c r="C15" s="8" t="s">
        <v>27</v>
      </c>
      <c r="F15" s="11" t="s">
        <v>27</v>
      </c>
      <c r="H15" s="11"/>
      <c r="J15" s="7" t="s">
        <v>27</v>
      </c>
      <c r="L15" s="7"/>
      <c r="N15" s="7"/>
      <c r="O15" s="11" t="s">
        <v>27</v>
      </c>
    </row>
    <row r="16" spans="1:17">
      <c r="A16" s="1">
        <f>Papers!A14</f>
        <v>12</v>
      </c>
      <c r="C16" s="8" t="s">
        <v>27</v>
      </c>
      <c r="F16" s="11" t="s">
        <v>27</v>
      </c>
      <c r="H16" s="11" t="s">
        <v>27</v>
      </c>
      <c r="K16" s="11" t="s">
        <v>27</v>
      </c>
      <c r="M16" s="11" t="s">
        <v>27</v>
      </c>
      <c r="O16" s="11" t="s">
        <v>27</v>
      </c>
    </row>
    <row r="17" spans="1:16">
      <c r="A17" s="1">
        <f>Papers!A15</f>
        <v>13</v>
      </c>
      <c r="C17" s="8" t="s">
        <v>27</v>
      </c>
      <c r="F17" s="11" t="s">
        <v>27</v>
      </c>
      <c r="H17" s="11" t="s">
        <v>27</v>
      </c>
      <c r="K17" s="11" t="s">
        <v>27</v>
      </c>
      <c r="M17" s="11" t="s">
        <v>27</v>
      </c>
      <c r="O17" s="11" t="s">
        <v>27</v>
      </c>
    </row>
    <row r="18" spans="1:16">
      <c r="A18" s="1">
        <f>Papers!A16</f>
        <v>14</v>
      </c>
      <c r="C18" s="8" t="s">
        <v>27</v>
      </c>
      <c r="F18" s="11" t="s">
        <v>27</v>
      </c>
      <c r="H18" s="11" t="s">
        <v>27</v>
      </c>
      <c r="O18" s="11" t="s">
        <v>27</v>
      </c>
    </row>
    <row r="19" spans="1:16">
      <c r="A19" s="1">
        <f>Papers!A17</f>
        <v>15</v>
      </c>
      <c r="C19" s="8" t="s">
        <v>27</v>
      </c>
      <c r="F19" s="11" t="s">
        <v>27</v>
      </c>
      <c r="H19" s="11" t="s">
        <v>27</v>
      </c>
      <c r="K19" s="11" t="s">
        <v>27</v>
      </c>
      <c r="N19" s="7" t="s">
        <v>27</v>
      </c>
      <c r="O19" s="11" t="s">
        <v>27</v>
      </c>
    </row>
    <row r="20" spans="1:16">
      <c r="A20" s="1">
        <f>Papers!A18</f>
        <v>16</v>
      </c>
      <c r="C20" s="8" t="s">
        <v>27</v>
      </c>
      <c r="F20" s="11"/>
      <c r="G20" s="7" t="s">
        <v>27</v>
      </c>
      <c r="H20" s="11" t="s">
        <v>27</v>
      </c>
      <c r="J20" s="7" t="s">
        <v>27</v>
      </c>
      <c r="K20" s="11" t="s">
        <v>27</v>
      </c>
      <c r="N20" s="7" t="s">
        <v>27</v>
      </c>
      <c r="O20" s="11" t="s">
        <v>27</v>
      </c>
      <c r="P20" s="11"/>
    </row>
    <row r="21" spans="1:16">
      <c r="A21" s="1">
        <f>Papers!A19</f>
        <v>17</v>
      </c>
      <c r="C21" s="8" t="s">
        <v>27</v>
      </c>
      <c r="F21" s="11" t="s">
        <v>27</v>
      </c>
      <c r="H21" s="11" t="s">
        <v>27</v>
      </c>
      <c r="P21" s="11" t="s">
        <v>27</v>
      </c>
    </row>
    <row r="22" spans="1:16">
      <c r="A22" s="1">
        <f>Papers!A20</f>
        <v>18</v>
      </c>
      <c r="C22" s="8" t="s">
        <v>27</v>
      </c>
      <c r="F22" s="11" t="s">
        <v>27</v>
      </c>
      <c r="H22" s="11" t="s">
        <v>27</v>
      </c>
      <c r="K22" s="11" t="s">
        <v>27</v>
      </c>
      <c r="N22" s="7" t="s">
        <v>27</v>
      </c>
      <c r="O22" s="11" t="s">
        <v>27</v>
      </c>
    </row>
    <row r="23" spans="1:16">
      <c r="A23" s="1">
        <f>Papers!A21</f>
        <v>19</v>
      </c>
      <c r="D23" s="11" t="s">
        <v>27</v>
      </c>
      <c r="F23" s="11" t="s">
        <v>27</v>
      </c>
      <c r="H23" s="11" t="s">
        <v>27</v>
      </c>
      <c r="K23" s="11" t="s">
        <v>27</v>
      </c>
      <c r="L23" s="7"/>
      <c r="M23" s="11" t="s">
        <v>27</v>
      </c>
      <c r="O23" s="11" t="s">
        <v>27</v>
      </c>
    </row>
    <row r="24" spans="1:16">
      <c r="A24" s="1">
        <f>Papers!A22</f>
        <v>20</v>
      </c>
      <c r="C24" s="8" t="s">
        <v>27</v>
      </c>
      <c r="G24" s="7" t="s">
        <v>27</v>
      </c>
      <c r="H24" s="11" t="s">
        <v>27</v>
      </c>
      <c r="I24" s="11" t="s">
        <v>27</v>
      </c>
      <c r="L24" s="7" t="s">
        <v>27</v>
      </c>
      <c r="M24" s="11" t="s">
        <v>27</v>
      </c>
      <c r="O24" s="11" t="s">
        <v>27</v>
      </c>
    </row>
    <row r="25" spans="1:16">
      <c r="A25" s="1">
        <f>Papers!A23</f>
        <v>21</v>
      </c>
      <c r="C25" s="8" t="s">
        <v>27</v>
      </c>
      <c r="G25" s="7" t="s">
        <v>27</v>
      </c>
      <c r="H25" s="11" t="s">
        <v>27</v>
      </c>
      <c r="L25" s="7" t="s">
        <v>27</v>
      </c>
      <c r="M25" s="11" t="s">
        <v>27</v>
      </c>
      <c r="O25" s="11" t="s">
        <v>27</v>
      </c>
    </row>
    <row r="26" spans="1:16">
      <c r="A26" s="1" t="str">
        <f>Papers!A24</f>
        <v>21-b</v>
      </c>
      <c r="C26" s="8" t="s">
        <v>27</v>
      </c>
      <c r="G26" s="7" t="s">
        <v>27</v>
      </c>
      <c r="H26" s="11" t="s">
        <v>27</v>
      </c>
      <c r="K26" s="11" t="s">
        <v>27</v>
      </c>
      <c r="M26" s="11" t="s">
        <v>27</v>
      </c>
      <c r="O26" s="11" t="s">
        <v>27</v>
      </c>
    </row>
    <row r="27" spans="1:16">
      <c r="A27" s="1">
        <f>Papers!A25</f>
        <v>22</v>
      </c>
      <c r="D27" s="11" t="s">
        <v>27</v>
      </c>
      <c r="F27" s="11" t="s">
        <v>27</v>
      </c>
      <c r="H27" s="11" t="s">
        <v>27</v>
      </c>
      <c r="K27" s="11" t="s">
        <v>27</v>
      </c>
      <c r="L27" s="7"/>
      <c r="M27" s="11" t="s">
        <v>27</v>
      </c>
      <c r="O27" s="11" t="s">
        <v>27</v>
      </c>
    </row>
    <row r="28" spans="1:16">
      <c r="A28" s="1">
        <f>Papers!A26</f>
        <v>23</v>
      </c>
      <c r="C28" s="8" t="s">
        <v>27</v>
      </c>
      <c r="F28" s="11" t="s">
        <v>27</v>
      </c>
      <c r="H28" s="11" t="s">
        <v>27</v>
      </c>
      <c r="K28" s="11" t="s">
        <v>27</v>
      </c>
      <c r="N28" s="7" t="s">
        <v>27</v>
      </c>
      <c r="O28" s="11" t="s">
        <v>27</v>
      </c>
    </row>
    <row r="29" spans="1:16">
      <c r="A29" s="1">
        <f>Papers!A27</f>
        <v>24</v>
      </c>
      <c r="D29" s="11" t="s">
        <v>27</v>
      </c>
      <c r="F29" s="8" t="s">
        <v>27</v>
      </c>
      <c r="H29" s="11" t="s">
        <v>27</v>
      </c>
      <c r="K29" s="11" t="s">
        <v>27</v>
      </c>
      <c r="M29" s="11" t="s">
        <v>27</v>
      </c>
      <c r="O29" s="11" t="s">
        <v>27</v>
      </c>
    </row>
    <row r="30" spans="1:16">
      <c r="A30" s="1">
        <f>Papers!A28</f>
        <v>25</v>
      </c>
      <c r="C30" s="8" t="s">
        <v>27</v>
      </c>
      <c r="F30" s="8" t="s">
        <v>27</v>
      </c>
      <c r="H30" s="11" t="s">
        <v>27</v>
      </c>
      <c r="K30" s="11" t="s">
        <v>27</v>
      </c>
      <c r="N30" s="7" t="s">
        <v>27</v>
      </c>
      <c r="O30" s="11" t="s">
        <v>27</v>
      </c>
    </row>
    <row r="31" spans="1:16">
      <c r="A31" s="1">
        <f>Papers!A29</f>
        <v>26</v>
      </c>
      <c r="C31" s="8" t="s">
        <v>27</v>
      </c>
      <c r="F31" s="8" t="s">
        <v>27</v>
      </c>
      <c r="H31" s="11" t="s">
        <v>27</v>
      </c>
      <c r="K31" s="11" t="s">
        <v>27</v>
      </c>
      <c r="N31" s="7" t="s">
        <v>27</v>
      </c>
      <c r="O31" s="11" t="s">
        <v>27</v>
      </c>
    </row>
    <row r="32" spans="1:16">
      <c r="A32" s="1">
        <f>Papers!A30</f>
        <v>27</v>
      </c>
      <c r="C32" s="8" t="s">
        <v>27</v>
      </c>
      <c r="F32" s="8" t="s">
        <v>27</v>
      </c>
      <c r="H32" s="11"/>
      <c r="J32" s="7" t="s">
        <v>27</v>
      </c>
      <c r="L32" s="7"/>
      <c r="N32" s="7"/>
      <c r="O32" s="11" t="s">
        <v>27</v>
      </c>
    </row>
    <row r="33" spans="1:16">
      <c r="A33" s="1">
        <f>Papers!A31</f>
        <v>28</v>
      </c>
      <c r="C33" s="8" t="s">
        <v>27</v>
      </c>
      <c r="F33" s="8" t="s">
        <v>27</v>
      </c>
      <c r="J33" s="7" t="s">
        <v>27</v>
      </c>
      <c r="O33" s="11" t="s">
        <v>27</v>
      </c>
    </row>
    <row r="34" spans="1:16">
      <c r="A34" s="1">
        <f>Papers!A32</f>
        <v>29</v>
      </c>
      <c r="C34" s="8" t="s">
        <v>27</v>
      </c>
      <c r="F34" s="8" t="s">
        <v>27</v>
      </c>
      <c r="H34" s="11" t="s">
        <v>27</v>
      </c>
      <c r="K34" s="11" t="s">
        <v>27</v>
      </c>
      <c r="M34" s="11" t="s">
        <v>27</v>
      </c>
      <c r="O34" s="11" t="s">
        <v>27</v>
      </c>
    </row>
    <row r="35" spans="1:16">
      <c r="A35" s="1">
        <f>Papers!A33</f>
        <v>30</v>
      </c>
      <c r="C35" s="8" t="s">
        <v>27</v>
      </c>
      <c r="F35" s="8" t="s">
        <v>27</v>
      </c>
      <c r="H35" s="11" t="s">
        <v>27</v>
      </c>
      <c r="K35" s="11" t="s">
        <v>27</v>
      </c>
      <c r="M35" s="11" t="s">
        <v>27</v>
      </c>
      <c r="P35" s="11" t="s">
        <v>27</v>
      </c>
    </row>
    <row r="36" spans="1:16">
      <c r="A36" s="1">
        <f>Papers!A34</f>
        <v>31</v>
      </c>
      <c r="D36" s="11" t="s">
        <v>27</v>
      </c>
      <c r="F36" s="8" t="s">
        <v>27</v>
      </c>
      <c r="H36" s="11" t="s">
        <v>27</v>
      </c>
      <c r="K36" s="11" t="s">
        <v>27</v>
      </c>
      <c r="M36" s="11" t="s">
        <v>27</v>
      </c>
      <c r="O36" s="11" t="s">
        <v>27</v>
      </c>
    </row>
    <row r="37" spans="1:16">
      <c r="A37" s="1">
        <f>Papers!A35</f>
        <v>32</v>
      </c>
      <c r="D37" s="11" t="s">
        <v>27</v>
      </c>
      <c r="F37" s="8" t="s">
        <v>27</v>
      </c>
      <c r="H37" s="8" t="s">
        <v>27</v>
      </c>
      <c r="L37" s="7" t="s">
        <v>27</v>
      </c>
      <c r="M37" s="11" t="s">
        <v>27</v>
      </c>
      <c r="O37" s="11" t="s">
        <v>27</v>
      </c>
    </row>
    <row r="38" spans="1:16">
      <c r="A38" s="1">
        <f>Papers!A36</f>
        <v>33</v>
      </c>
      <c r="C38" s="8" t="s">
        <v>27</v>
      </c>
      <c r="F38" s="8" t="s">
        <v>27</v>
      </c>
      <c r="H38" s="8" t="s">
        <v>27</v>
      </c>
      <c r="O38" s="11" t="s">
        <v>27</v>
      </c>
    </row>
    <row r="39" spans="1:16">
      <c r="A39" s="1">
        <f>Papers!A37</f>
        <v>34</v>
      </c>
      <c r="C39" s="8" t="s">
        <v>27</v>
      </c>
      <c r="F39" s="8" t="s">
        <v>27</v>
      </c>
      <c r="H39" s="8" t="s">
        <v>27</v>
      </c>
      <c r="K39" s="11" t="s">
        <v>27</v>
      </c>
      <c r="N39" s="7" t="s">
        <v>27</v>
      </c>
      <c r="O39" s="11" t="s">
        <v>27</v>
      </c>
    </row>
    <row r="40" spans="1:16">
      <c r="A40" s="1">
        <f>Papers!A38</f>
        <v>35</v>
      </c>
      <c r="C40" s="8" t="s">
        <v>27</v>
      </c>
      <c r="F40" s="8" t="s">
        <v>27</v>
      </c>
      <c r="H40" s="8" t="s">
        <v>27</v>
      </c>
      <c r="P40" s="11" t="s">
        <v>27</v>
      </c>
    </row>
    <row r="41" spans="1:16">
      <c r="A41" s="1">
        <f>Papers!A39</f>
        <v>36</v>
      </c>
      <c r="C41" s="8" t="s">
        <v>27</v>
      </c>
      <c r="F41" s="8" t="s">
        <v>27</v>
      </c>
      <c r="H41" s="8"/>
      <c r="J41" s="7" t="s">
        <v>27</v>
      </c>
      <c r="K41" s="11"/>
      <c r="N41" s="7"/>
      <c r="O41" s="11" t="s">
        <v>27</v>
      </c>
    </row>
    <row r="42" spans="1:16">
      <c r="A42" s="1">
        <f>Papers!A40</f>
        <v>37</v>
      </c>
      <c r="C42" s="8" t="s">
        <v>27</v>
      </c>
      <c r="F42" s="8" t="s">
        <v>27</v>
      </c>
      <c r="H42" s="8" t="s">
        <v>27</v>
      </c>
      <c r="O42" s="11" t="s">
        <v>27</v>
      </c>
    </row>
    <row r="43" spans="1:16">
      <c r="A43" s="1">
        <f>Papers!A41</f>
        <v>38</v>
      </c>
      <c r="C43" s="8" t="s">
        <v>27</v>
      </c>
      <c r="F43" s="8" t="s">
        <v>27</v>
      </c>
      <c r="H43" s="8" t="s">
        <v>27</v>
      </c>
      <c r="K43" s="11" t="s">
        <v>27</v>
      </c>
      <c r="N43" s="7" t="s">
        <v>27</v>
      </c>
      <c r="O43" s="11" t="s">
        <v>27</v>
      </c>
    </row>
    <row r="44" spans="1:16">
      <c r="A44" s="1">
        <f>Papers!A42</f>
        <v>39</v>
      </c>
      <c r="C44" s="8" t="s">
        <v>27</v>
      </c>
      <c r="F44" s="8" t="s">
        <v>27</v>
      </c>
      <c r="H44" s="8" t="s">
        <v>27</v>
      </c>
      <c r="K44" s="11" t="s">
        <v>27</v>
      </c>
      <c r="N44" s="7"/>
      <c r="O44" s="11" t="s">
        <v>27</v>
      </c>
    </row>
    <row r="45" spans="1:16">
      <c r="A45" s="1">
        <f>Papers!A43</f>
        <v>40</v>
      </c>
      <c r="C45" s="8" t="s">
        <v>27</v>
      </c>
      <c r="F45" s="8" t="s">
        <v>27</v>
      </c>
      <c r="J45" s="7" t="s">
        <v>27</v>
      </c>
      <c r="O45" s="11" t="s">
        <v>27</v>
      </c>
    </row>
    <row r="46" spans="1:16">
      <c r="A46" s="1">
        <f>Papers!A44</f>
        <v>41</v>
      </c>
      <c r="D46" s="11" t="s">
        <v>27</v>
      </c>
      <c r="F46" s="8" t="s">
        <v>27</v>
      </c>
      <c r="H46" s="8" t="s">
        <v>27</v>
      </c>
      <c r="K46" s="11" t="s">
        <v>27</v>
      </c>
      <c r="M46" s="11" t="s">
        <v>27</v>
      </c>
      <c r="O46" s="11" t="s">
        <v>27</v>
      </c>
    </row>
    <row r="47" spans="1:16">
      <c r="A47" s="1">
        <f>Papers!A45</f>
        <v>42</v>
      </c>
      <c r="C47" s="8" t="s">
        <v>27</v>
      </c>
      <c r="F47" s="8" t="s">
        <v>27</v>
      </c>
      <c r="H47" s="8" t="s">
        <v>27</v>
      </c>
      <c r="K47" s="11" t="s">
        <v>27</v>
      </c>
      <c r="N47" s="7" t="s">
        <v>27</v>
      </c>
      <c r="O47" s="11" t="s">
        <v>27</v>
      </c>
    </row>
    <row r="48" spans="1:16">
      <c r="A48" s="1">
        <f>Papers!A46</f>
        <v>43</v>
      </c>
      <c r="D48" s="11" t="s">
        <v>27</v>
      </c>
      <c r="F48" s="8" t="s">
        <v>27</v>
      </c>
      <c r="H48" s="8" t="s">
        <v>27</v>
      </c>
      <c r="I48" s="11" t="s">
        <v>27</v>
      </c>
      <c r="M48" s="11"/>
      <c r="O48" s="11" t="s">
        <v>27</v>
      </c>
    </row>
    <row r="49" spans="1:17" s="31" customFormat="1">
      <c r="A49" s="33">
        <f>Papers!A47</f>
        <v>44</v>
      </c>
      <c r="C49" s="8" t="s">
        <v>27</v>
      </c>
      <c r="E49" s="32"/>
      <c r="F49" s="8" t="s">
        <v>27</v>
      </c>
      <c r="G49" s="32"/>
      <c r="H49" s="8" t="s">
        <v>27</v>
      </c>
      <c r="J49" s="32"/>
      <c r="K49" s="11" t="s">
        <v>27</v>
      </c>
      <c r="L49" s="32"/>
      <c r="N49" s="7" t="s">
        <v>27</v>
      </c>
      <c r="O49" s="11" t="s">
        <v>27</v>
      </c>
      <c r="Q49" s="32"/>
    </row>
    <row r="50" spans="1:17" s="31" customFormat="1">
      <c r="A50" s="33">
        <f>Papers!A48</f>
        <v>45</v>
      </c>
      <c r="C50" s="8" t="s">
        <v>27</v>
      </c>
      <c r="E50" s="32"/>
      <c r="F50" s="8" t="s">
        <v>27</v>
      </c>
      <c r="G50" s="32"/>
      <c r="H50" s="8" t="s">
        <v>27</v>
      </c>
      <c r="J50" s="32"/>
      <c r="L50" s="7" t="s">
        <v>27</v>
      </c>
      <c r="M50" s="11" t="s">
        <v>27</v>
      </c>
      <c r="N50" s="32"/>
      <c r="O50" s="11" t="s">
        <v>27</v>
      </c>
      <c r="Q50" s="32"/>
    </row>
    <row r="51" spans="1:17">
      <c r="A51" s="1">
        <f>Papers!A49</f>
        <v>46</v>
      </c>
      <c r="C51" s="8" t="s">
        <v>27</v>
      </c>
      <c r="F51" s="8" t="s">
        <v>27</v>
      </c>
      <c r="H51" s="8" t="s">
        <v>27</v>
      </c>
      <c r="K51" s="11" t="s">
        <v>27</v>
      </c>
      <c r="M51" s="11" t="s">
        <v>27</v>
      </c>
      <c r="Q51" s="7" t="s">
        <v>27</v>
      </c>
    </row>
    <row r="52" spans="1:17">
      <c r="A52" s="1">
        <f>Papers!A50</f>
        <v>47</v>
      </c>
      <c r="C52" s="8" t="s">
        <v>27</v>
      </c>
      <c r="F52" s="8" t="s">
        <v>27</v>
      </c>
      <c r="H52" s="8" t="s">
        <v>27</v>
      </c>
      <c r="K52" s="11" t="s">
        <v>27</v>
      </c>
      <c r="O52" s="11" t="s">
        <v>27</v>
      </c>
    </row>
    <row r="53" spans="1:17">
      <c r="A53" s="1">
        <f>Papers!A51</f>
        <v>48</v>
      </c>
      <c r="C53" s="8" t="s">
        <v>27</v>
      </c>
      <c r="F53" s="8" t="s">
        <v>27</v>
      </c>
      <c r="H53" s="8" t="s">
        <v>27</v>
      </c>
      <c r="K53" s="11" t="s">
        <v>27</v>
      </c>
      <c r="O53" s="11" t="s">
        <v>27</v>
      </c>
    </row>
    <row r="54" spans="1:17">
      <c r="A54" s="1">
        <f>Papers!A52</f>
        <v>49</v>
      </c>
      <c r="C54" s="8" t="s">
        <v>27</v>
      </c>
      <c r="F54" s="8" t="s">
        <v>27</v>
      </c>
      <c r="H54" s="8" t="s">
        <v>27</v>
      </c>
      <c r="K54" s="11" t="s">
        <v>27</v>
      </c>
      <c r="M54" s="11" t="s">
        <v>27</v>
      </c>
      <c r="Q54" s="7" t="s">
        <v>27</v>
      </c>
    </row>
    <row r="55" spans="1:17">
      <c r="A55" s="1" t="str">
        <f>Papers!A53</f>
        <v>49-b</v>
      </c>
      <c r="C55" s="8" t="s">
        <v>27</v>
      </c>
      <c r="F55" s="8" t="s">
        <v>27</v>
      </c>
      <c r="H55" s="8" t="s">
        <v>27</v>
      </c>
      <c r="K55" s="11" t="s">
        <v>27</v>
      </c>
      <c r="M55" s="11" t="s">
        <v>27</v>
      </c>
      <c r="Q55" s="7" t="s">
        <v>27</v>
      </c>
    </row>
    <row r="56" spans="1:17">
      <c r="A56" s="1">
        <f>Papers!A54</f>
        <v>50</v>
      </c>
      <c r="C56" s="8" t="s">
        <v>27</v>
      </c>
      <c r="F56" s="8" t="s">
        <v>27</v>
      </c>
      <c r="H56" s="8" t="s">
        <v>27</v>
      </c>
      <c r="K56" s="11" t="s">
        <v>27</v>
      </c>
      <c r="M56" s="11"/>
      <c r="N56" s="7" t="s">
        <v>27</v>
      </c>
      <c r="O56" s="11" t="s">
        <v>27</v>
      </c>
    </row>
    <row r="57" spans="1:17">
      <c r="A57" s="1">
        <f>Papers!A55</f>
        <v>51</v>
      </c>
      <c r="C57" s="8" t="s">
        <v>27</v>
      </c>
      <c r="F57" s="8" t="s">
        <v>27</v>
      </c>
      <c r="H57" s="8" t="s">
        <v>27</v>
      </c>
      <c r="L57" s="7" t="s">
        <v>27</v>
      </c>
      <c r="N57" s="7" t="s">
        <v>27</v>
      </c>
      <c r="P57" s="11" t="s">
        <v>27</v>
      </c>
    </row>
    <row r="58" spans="1:17">
      <c r="A58" s="1">
        <f>Papers!A56</f>
        <v>52</v>
      </c>
      <c r="C58" s="8" t="s">
        <v>27</v>
      </c>
      <c r="F58" s="8" t="s">
        <v>27</v>
      </c>
      <c r="H58" s="8" t="s">
        <v>27</v>
      </c>
      <c r="O58" s="11" t="s">
        <v>27</v>
      </c>
    </row>
    <row r="59" spans="1:17" s="31" customFormat="1">
      <c r="A59" s="33">
        <f>Papers!A57</f>
        <v>53</v>
      </c>
      <c r="C59" s="8" t="s">
        <v>27</v>
      </c>
      <c r="E59" s="32"/>
      <c r="F59" s="8" t="s">
        <v>27</v>
      </c>
      <c r="G59" s="32"/>
      <c r="H59" s="8" t="s">
        <v>27</v>
      </c>
      <c r="I59" s="11" t="s">
        <v>27</v>
      </c>
      <c r="J59" s="32"/>
      <c r="K59" s="11" t="s">
        <v>27</v>
      </c>
      <c r="L59" s="32"/>
      <c r="M59" s="11" t="s">
        <v>27</v>
      </c>
      <c r="N59" s="32"/>
      <c r="O59" s="11" t="s">
        <v>27</v>
      </c>
      <c r="Q59" s="32"/>
    </row>
    <row r="60" spans="1:17">
      <c r="A60" s="1">
        <f>Papers!A58</f>
        <v>54</v>
      </c>
      <c r="C60" s="8" t="s">
        <v>27</v>
      </c>
      <c r="F60" s="8" t="s">
        <v>27</v>
      </c>
      <c r="H60" s="8" t="s">
        <v>27</v>
      </c>
      <c r="I60" s="11" t="s">
        <v>27</v>
      </c>
      <c r="K60" s="11" t="s">
        <v>27</v>
      </c>
      <c r="N60" s="7" t="s">
        <v>27</v>
      </c>
      <c r="O60" s="11" t="s">
        <v>27</v>
      </c>
    </row>
    <row r="61" spans="1:17">
      <c r="A61" s="1">
        <f>Papers!A59</f>
        <v>55</v>
      </c>
      <c r="C61" s="8" t="s">
        <v>27</v>
      </c>
      <c r="F61" s="8" t="s">
        <v>27</v>
      </c>
      <c r="H61" s="8" t="s">
        <v>27</v>
      </c>
      <c r="K61" s="11" t="s">
        <v>27</v>
      </c>
      <c r="N61" s="7" t="s">
        <v>27</v>
      </c>
      <c r="O61" s="11" t="s">
        <v>27</v>
      </c>
      <c r="P61" s="11" t="s">
        <v>27</v>
      </c>
    </row>
    <row r="62" spans="1:17" s="31" customFormat="1">
      <c r="A62" s="33">
        <f>Papers!A60</f>
        <v>56</v>
      </c>
      <c r="C62" s="8" t="s">
        <v>27</v>
      </c>
      <c r="E62" s="32"/>
      <c r="F62" s="8" t="s">
        <v>27</v>
      </c>
      <c r="G62" s="32"/>
      <c r="H62" s="8" t="s">
        <v>27</v>
      </c>
      <c r="J62" s="32"/>
      <c r="K62" s="11" t="s">
        <v>27</v>
      </c>
      <c r="L62" s="32"/>
      <c r="N62" s="7" t="s">
        <v>27</v>
      </c>
      <c r="O62" s="11" t="s">
        <v>27</v>
      </c>
      <c r="Q62" s="32"/>
    </row>
    <row r="63" spans="1:17">
      <c r="A63" s="1">
        <f>Papers!A61</f>
        <v>57</v>
      </c>
      <c r="C63" s="8" t="s">
        <v>27</v>
      </c>
      <c r="E63" s="7" t="s">
        <v>27</v>
      </c>
      <c r="F63" s="8" t="s">
        <v>27</v>
      </c>
      <c r="H63" s="8" t="s">
        <v>27</v>
      </c>
      <c r="K63" s="11" t="s">
        <v>27</v>
      </c>
      <c r="M63" s="11" t="s">
        <v>27</v>
      </c>
      <c r="P63" s="11" t="s">
        <v>27</v>
      </c>
    </row>
    <row r="64" spans="1:17">
      <c r="A64" s="1">
        <f>Papers!A62</f>
        <v>58</v>
      </c>
      <c r="D64" s="11" t="s">
        <v>27</v>
      </c>
      <c r="F64" s="8" t="s">
        <v>27</v>
      </c>
      <c r="H64" s="8" t="s">
        <v>27</v>
      </c>
      <c r="L64" s="7" t="s">
        <v>27</v>
      </c>
      <c r="M64" s="11" t="s">
        <v>27</v>
      </c>
      <c r="O64" s="11" t="s">
        <v>27</v>
      </c>
    </row>
    <row r="65" spans="1:17">
      <c r="A65" s="1">
        <f>Papers!A63</f>
        <v>59</v>
      </c>
      <c r="C65" s="8" t="s">
        <v>27</v>
      </c>
      <c r="F65" s="8" t="s">
        <v>27</v>
      </c>
      <c r="J65" s="7" t="s">
        <v>27</v>
      </c>
      <c r="O65" s="11" t="s">
        <v>27</v>
      </c>
    </row>
    <row r="66" spans="1:17" s="31" customFormat="1">
      <c r="A66" s="33">
        <f>Papers!A64</f>
        <v>60</v>
      </c>
      <c r="C66" s="8" t="s">
        <v>27</v>
      </c>
      <c r="E66" s="32"/>
      <c r="F66" s="8" t="s">
        <v>27</v>
      </c>
      <c r="G66" s="32"/>
      <c r="J66" s="7" t="s">
        <v>27</v>
      </c>
      <c r="L66" s="32"/>
      <c r="N66" s="32"/>
      <c r="O66" s="11" t="s">
        <v>27</v>
      </c>
      <c r="Q66" s="32"/>
    </row>
    <row r="67" spans="1:17" s="31" customFormat="1">
      <c r="A67" s="33">
        <f>Papers!A65</f>
        <v>61</v>
      </c>
      <c r="C67" s="8" t="s">
        <v>27</v>
      </c>
      <c r="E67" s="32"/>
      <c r="F67" s="8" t="s">
        <v>27</v>
      </c>
      <c r="G67" s="32"/>
      <c r="H67" s="8" t="s">
        <v>27</v>
      </c>
      <c r="J67" s="32"/>
      <c r="K67" s="11" t="s">
        <v>27</v>
      </c>
      <c r="L67" s="32"/>
      <c r="N67" s="7" t="s">
        <v>27</v>
      </c>
      <c r="O67" s="11" t="s">
        <v>27</v>
      </c>
      <c r="Q67" s="32"/>
    </row>
    <row r="68" spans="1:17">
      <c r="A68" s="33">
        <f>Papers!A66</f>
        <v>62</v>
      </c>
      <c r="C68" s="8" t="s">
        <v>27</v>
      </c>
      <c r="G68" s="7" t="s">
        <v>27</v>
      </c>
      <c r="J68" s="7" t="s">
        <v>27</v>
      </c>
      <c r="O68" s="11" t="s">
        <v>27</v>
      </c>
    </row>
    <row r="69" spans="1:17">
      <c r="A69" s="33">
        <f>Papers!A67</f>
        <v>63</v>
      </c>
      <c r="C69" s="8" t="s">
        <v>27</v>
      </c>
      <c r="F69" s="8" t="s">
        <v>27</v>
      </c>
      <c r="H69" s="8" t="s">
        <v>27</v>
      </c>
      <c r="K69" s="11" t="s">
        <v>27</v>
      </c>
      <c r="N69" s="7" t="s">
        <v>27</v>
      </c>
      <c r="O69" s="11" t="s">
        <v>27</v>
      </c>
    </row>
    <row r="70" spans="1:17">
      <c r="A70" s="33">
        <f>Papers!A68</f>
        <v>64</v>
      </c>
      <c r="C70" s="8" t="s">
        <v>27</v>
      </c>
      <c r="F70" s="8" t="s">
        <v>27</v>
      </c>
      <c r="H70" s="8" t="s">
        <v>27</v>
      </c>
      <c r="K70" s="11" t="s">
        <v>27</v>
      </c>
      <c r="N70" s="7" t="s">
        <v>27</v>
      </c>
      <c r="O70" s="11" t="s">
        <v>27</v>
      </c>
    </row>
    <row r="71" spans="1:17">
      <c r="A71" s="36">
        <f>Papers!A69</f>
        <v>65</v>
      </c>
      <c r="C71" s="8" t="s">
        <v>27</v>
      </c>
      <c r="F71" s="8" t="s">
        <v>27</v>
      </c>
      <c r="H71" s="8" t="s">
        <v>27</v>
      </c>
      <c r="K71" s="11" t="s">
        <v>27</v>
      </c>
      <c r="N71" s="7" t="s">
        <v>27</v>
      </c>
      <c r="O71" s="11" t="s">
        <v>27</v>
      </c>
    </row>
    <row r="72" spans="1:17">
      <c r="A72" s="36">
        <f>Papers!A70</f>
        <v>66</v>
      </c>
      <c r="C72" s="8" t="s">
        <v>27</v>
      </c>
      <c r="F72" s="8" t="s">
        <v>27</v>
      </c>
      <c r="H72" s="8" t="s">
        <v>27</v>
      </c>
      <c r="K72" s="11" t="s">
        <v>27</v>
      </c>
      <c r="N72" s="7" t="s">
        <v>27</v>
      </c>
      <c r="Q72" s="7" t="s">
        <v>27</v>
      </c>
    </row>
    <row r="73" spans="1:17">
      <c r="A73" s="36">
        <f>Papers!A71</f>
        <v>67</v>
      </c>
      <c r="C73" s="8" t="s">
        <v>27</v>
      </c>
      <c r="F73" s="8" t="s">
        <v>27</v>
      </c>
      <c r="J73" s="7" t="s">
        <v>27</v>
      </c>
      <c r="O73" s="11" t="s">
        <v>27</v>
      </c>
    </row>
    <row r="74" spans="1:17">
      <c r="A74" s="36">
        <f>Papers!A72</f>
        <v>68</v>
      </c>
      <c r="C74" s="8" t="s">
        <v>27</v>
      </c>
      <c r="F74" s="8" t="s">
        <v>27</v>
      </c>
      <c r="H74" s="8" t="s">
        <v>27</v>
      </c>
      <c r="K74" s="11" t="s">
        <v>27</v>
      </c>
      <c r="O74" s="11" t="s">
        <v>27</v>
      </c>
    </row>
    <row r="75" spans="1:17">
      <c r="A75" s="36">
        <f>Papers!A73</f>
        <v>69</v>
      </c>
      <c r="C75" s="8" t="s">
        <v>27</v>
      </c>
      <c r="G75" s="7" t="s">
        <v>27</v>
      </c>
      <c r="J75" s="7" t="s">
        <v>27</v>
      </c>
      <c r="O75" s="11" t="s">
        <v>27</v>
      </c>
    </row>
    <row r="76" spans="1:17">
      <c r="A76" s="36">
        <f>Papers!A74</f>
        <v>70</v>
      </c>
      <c r="C76" s="8" t="s">
        <v>27</v>
      </c>
      <c r="G76" s="7" t="s">
        <v>27</v>
      </c>
      <c r="H76" s="8" t="s">
        <v>27</v>
      </c>
      <c r="K76" s="11" t="s">
        <v>27</v>
      </c>
      <c r="O76" s="11" t="s">
        <v>27</v>
      </c>
    </row>
    <row r="77" spans="1:17">
      <c r="A77" s="36">
        <f>Papers!A75</f>
        <v>71</v>
      </c>
      <c r="C77" s="8" t="s">
        <v>27</v>
      </c>
      <c r="F77" s="8" t="s">
        <v>27</v>
      </c>
      <c r="H77" s="8" t="s">
        <v>27</v>
      </c>
      <c r="K77" s="11" t="s">
        <v>27</v>
      </c>
      <c r="N77" s="7" t="s">
        <v>27</v>
      </c>
      <c r="O77" s="11" t="s">
        <v>27</v>
      </c>
    </row>
    <row r="78" spans="1:17">
      <c r="A78" s="36">
        <f>Papers!A76</f>
        <v>72</v>
      </c>
      <c r="C78" s="8" t="s">
        <v>27</v>
      </c>
      <c r="F78" s="8" t="s">
        <v>27</v>
      </c>
      <c r="H78" s="8"/>
      <c r="J78" s="7" t="s">
        <v>27</v>
      </c>
      <c r="O78" s="11" t="s">
        <v>27</v>
      </c>
    </row>
    <row r="79" spans="1:17">
      <c r="A79" s="36">
        <f>Papers!A77</f>
        <v>73</v>
      </c>
      <c r="C79" s="8" t="s">
        <v>27</v>
      </c>
      <c r="F79" s="8" t="s">
        <v>27</v>
      </c>
      <c r="H79" s="8" t="s">
        <v>27</v>
      </c>
      <c r="K79" s="11" t="s">
        <v>27</v>
      </c>
      <c r="N79" s="7" t="s">
        <v>27</v>
      </c>
      <c r="O79" s="11" t="s">
        <v>27</v>
      </c>
    </row>
    <row r="80" spans="1:17">
      <c r="A80" s="53">
        <f>Papers!A78</f>
        <v>74</v>
      </c>
      <c r="C80" s="8" t="s">
        <v>27</v>
      </c>
      <c r="F80" s="8" t="s">
        <v>27</v>
      </c>
      <c r="H80" s="8" t="s">
        <v>27</v>
      </c>
      <c r="I80" s="11" t="s">
        <v>27</v>
      </c>
      <c r="K80" s="11" t="s">
        <v>27</v>
      </c>
      <c r="N80" s="7" t="s">
        <v>27</v>
      </c>
      <c r="O80" s="11" t="s">
        <v>27</v>
      </c>
    </row>
  </sheetData>
  <mergeCells count="7">
    <mergeCell ref="M2:N2"/>
    <mergeCell ref="C2:E2"/>
    <mergeCell ref="O2:Q2"/>
    <mergeCell ref="C1:Q1"/>
    <mergeCell ref="F2:G2"/>
    <mergeCell ref="H2:J2"/>
    <mergeCell ref="K2:L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2B696-617D-49E5-95BB-DC8EC236FA28}">
  <dimension ref="A1:E79"/>
  <sheetViews>
    <sheetView tabSelected="1" workbookViewId="0">
      <pane ySplit="2" topLeftCell="A63" activePane="bottomLeft" state="frozen"/>
      <selection pane="bottomLeft" activeCell="E25" sqref="E25"/>
    </sheetView>
  </sheetViews>
  <sheetFormatPr defaultRowHeight="15"/>
  <cols>
    <col min="1" max="1" width="9.140625" style="1"/>
    <col min="3" max="3" width="17.7109375" style="16" customWidth="1"/>
    <col min="4" max="4" width="19.85546875" style="19" customWidth="1"/>
    <col min="5" max="5" width="19.28515625" style="14" customWidth="1"/>
  </cols>
  <sheetData>
    <row r="1" spans="1:5">
      <c r="A1" s="1" t="s">
        <v>5</v>
      </c>
      <c r="C1" s="61" t="s">
        <v>81</v>
      </c>
      <c r="D1" s="61"/>
      <c r="E1" s="71"/>
    </row>
    <row r="2" spans="1:5">
      <c r="C2" s="15" t="s">
        <v>82</v>
      </c>
      <c r="D2" s="18" t="s">
        <v>83</v>
      </c>
      <c r="E2" s="17" t="s">
        <v>84</v>
      </c>
    </row>
    <row r="4" spans="1:5">
      <c r="A4" s="1">
        <f>Papers!A3</f>
        <v>1</v>
      </c>
    </row>
    <row r="5" spans="1:5">
      <c r="A5" s="1">
        <f>Papers!A4</f>
        <v>2</v>
      </c>
      <c r="C5" s="22" t="s">
        <v>27</v>
      </c>
    </row>
    <row r="6" spans="1:5">
      <c r="A6" s="1">
        <f>Papers!A5</f>
        <v>3</v>
      </c>
    </row>
    <row r="7" spans="1:5">
      <c r="A7" s="1">
        <f>Papers!A6</f>
        <v>4</v>
      </c>
    </row>
    <row r="8" spans="1:5">
      <c r="A8" s="1">
        <f>Papers!A7</f>
        <v>5</v>
      </c>
    </row>
    <row r="9" spans="1:5">
      <c r="A9" s="1">
        <f>Papers!A8</f>
        <v>6</v>
      </c>
    </row>
    <row r="10" spans="1:5">
      <c r="A10" s="1">
        <f>Papers!A9</f>
        <v>7</v>
      </c>
    </row>
    <row r="11" spans="1:5">
      <c r="A11" s="1">
        <f>Papers!A10</f>
        <v>8</v>
      </c>
    </row>
    <row r="12" spans="1:5">
      <c r="A12" s="1">
        <f>Papers!A11</f>
        <v>9</v>
      </c>
      <c r="E12" s="7" t="s">
        <v>27</v>
      </c>
    </row>
    <row r="13" spans="1:5">
      <c r="A13" s="1">
        <f>Papers!A12</f>
        <v>10</v>
      </c>
    </row>
    <row r="14" spans="1:5">
      <c r="A14" s="1">
        <f>Papers!A13</f>
        <v>11</v>
      </c>
    </row>
    <row r="15" spans="1:5">
      <c r="A15" s="1">
        <f>Papers!A14</f>
        <v>12</v>
      </c>
    </row>
    <row r="16" spans="1:5">
      <c r="A16" s="1">
        <f>Papers!A15</f>
        <v>13</v>
      </c>
    </row>
    <row r="17" spans="1:4">
      <c r="A17" s="1">
        <f>Papers!A16</f>
        <v>14</v>
      </c>
    </row>
    <row r="18" spans="1:4">
      <c r="A18" s="1">
        <f>Papers!A17</f>
        <v>15</v>
      </c>
    </row>
    <row r="19" spans="1:4">
      <c r="A19" s="1">
        <f>Papers!A18</f>
        <v>16</v>
      </c>
    </row>
    <row r="20" spans="1:4">
      <c r="A20" s="1">
        <f>Papers!A19</f>
        <v>17</v>
      </c>
    </row>
    <row r="21" spans="1:4">
      <c r="A21" s="1">
        <f>Papers!A20</f>
        <v>18</v>
      </c>
      <c r="C21" s="22" t="s">
        <v>27</v>
      </c>
    </row>
    <row r="22" spans="1:4">
      <c r="A22" s="1">
        <f>Papers!A21</f>
        <v>19</v>
      </c>
    </row>
    <row r="23" spans="1:4">
      <c r="A23" s="1">
        <f>Papers!A22</f>
        <v>20</v>
      </c>
      <c r="C23" s="22" t="s">
        <v>27</v>
      </c>
    </row>
    <row r="24" spans="1:4">
      <c r="A24" s="1">
        <f>Papers!A23</f>
        <v>21</v>
      </c>
      <c r="D24" s="22" t="s">
        <v>27</v>
      </c>
    </row>
    <row r="25" spans="1:4">
      <c r="A25" s="1" t="str">
        <f>Papers!A24</f>
        <v>21-b</v>
      </c>
    </row>
    <row r="26" spans="1:4">
      <c r="A26" s="1">
        <f>Papers!A25</f>
        <v>22</v>
      </c>
    </row>
    <row r="27" spans="1:4">
      <c r="A27" s="1">
        <f>Papers!A26</f>
        <v>23</v>
      </c>
    </row>
    <row r="28" spans="1:4">
      <c r="A28" s="1">
        <f>Papers!A27</f>
        <v>24</v>
      </c>
    </row>
    <row r="29" spans="1:4">
      <c r="A29" s="1">
        <f>Papers!A28</f>
        <v>25</v>
      </c>
    </row>
    <row r="30" spans="1:4">
      <c r="A30" s="1">
        <f>Papers!A29</f>
        <v>26</v>
      </c>
    </row>
    <row r="31" spans="1:4">
      <c r="A31" s="1">
        <f>Papers!A30</f>
        <v>27</v>
      </c>
    </row>
    <row r="32" spans="1:4">
      <c r="A32" s="1">
        <f>Papers!A31</f>
        <v>28</v>
      </c>
    </row>
    <row r="33" spans="1:4">
      <c r="A33" s="1">
        <f>Papers!A32</f>
        <v>29</v>
      </c>
    </row>
    <row r="34" spans="1:4">
      <c r="A34" s="1">
        <f>Papers!A33</f>
        <v>30</v>
      </c>
      <c r="C34" s="22" t="s">
        <v>27</v>
      </c>
    </row>
    <row r="35" spans="1:4">
      <c r="A35" s="1">
        <f>Papers!A34</f>
        <v>31</v>
      </c>
    </row>
    <row r="36" spans="1:4">
      <c r="A36" s="1">
        <f>Papers!A35</f>
        <v>32</v>
      </c>
    </row>
    <row r="37" spans="1:4">
      <c r="A37" s="1">
        <f>Papers!A36</f>
        <v>33</v>
      </c>
    </row>
    <row r="38" spans="1:4">
      <c r="A38" s="1">
        <f>Papers!A37</f>
        <v>34</v>
      </c>
    </row>
    <row r="39" spans="1:4">
      <c r="A39" s="1">
        <f>Papers!A38</f>
        <v>35</v>
      </c>
    </row>
    <row r="40" spans="1:4">
      <c r="A40" s="1">
        <f>Papers!A39</f>
        <v>36</v>
      </c>
    </row>
    <row r="41" spans="1:4">
      <c r="A41" s="1">
        <f>Papers!A40</f>
        <v>37</v>
      </c>
      <c r="D41" s="22" t="s">
        <v>27</v>
      </c>
    </row>
    <row r="42" spans="1:4">
      <c r="A42" s="1">
        <f>Papers!A41</f>
        <v>38</v>
      </c>
    </row>
    <row r="43" spans="1:4">
      <c r="A43" s="1">
        <f>Papers!A42</f>
        <v>39</v>
      </c>
    </row>
    <row r="44" spans="1:4">
      <c r="A44" s="1">
        <f>Papers!A43</f>
        <v>40</v>
      </c>
    </row>
    <row r="45" spans="1:4">
      <c r="A45" s="1">
        <f>Papers!A44</f>
        <v>41</v>
      </c>
    </row>
    <row r="46" spans="1:4">
      <c r="A46" s="1">
        <f>Papers!A45</f>
        <v>42</v>
      </c>
    </row>
    <row r="47" spans="1:4">
      <c r="A47" s="1">
        <f>Papers!A46</f>
        <v>43</v>
      </c>
      <c r="D47" s="22" t="s">
        <v>27</v>
      </c>
    </row>
    <row r="48" spans="1:4">
      <c r="A48" s="1">
        <f>Papers!A47</f>
        <v>44</v>
      </c>
    </row>
    <row r="49" spans="1:5">
      <c r="A49" s="1">
        <f>Papers!A48</f>
        <v>45</v>
      </c>
    </row>
    <row r="50" spans="1:5">
      <c r="A50" s="1">
        <f>Papers!A49</f>
        <v>46</v>
      </c>
    </row>
    <row r="51" spans="1:5">
      <c r="A51" s="1">
        <f>Papers!A50</f>
        <v>47</v>
      </c>
    </row>
    <row r="52" spans="1:5">
      <c r="A52" s="1">
        <f>Papers!A51</f>
        <v>48</v>
      </c>
    </row>
    <row r="53" spans="1:5">
      <c r="A53" s="1">
        <f>Papers!A52</f>
        <v>49</v>
      </c>
    </row>
    <row r="54" spans="1:5">
      <c r="A54" s="1" t="str">
        <f>Papers!A53</f>
        <v>49-b</v>
      </c>
    </row>
    <row r="55" spans="1:5">
      <c r="A55" s="1">
        <f>Papers!A54</f>
        <v>50</v>
      </c>
    </row>
    <row r="56" spans="1:5">
      <c r="A56" s="1">
        <f>Papers!A55</f>
        <v>51</v>
      </c>
    </row>
    <row r="57" spans="1:5">
      <c r="A57" s="1">
        <f>Papers!A56</f>
        <v>52</v>
      </c>
    </row>
    <row r="58" spans="1:5" s="31" customFormat="1">
      <c r="A58" s="33">
        <f>Papers!A57</f>
        <v>53</v>
      </c>
      <c r="C58" s="16"/>
      <c r="D58" s="22" t="s">
        <v>27</v>
      </c>
      <c r="E58" s="7" t="s">
        <v>27</v>
      </c>
    </row>
    <row r="59" spans="1:5">
      <c r="A59" s="1">
        <f>Papers!A58</f>
        <v>54</v>
      </c>
      <c r="D59" s="22" t="s">
        <v>27</v>
      </c>
    </row>
    <row r="60" spans="1:5">
      <c r="A60" s="1">
        <f>Papers!A59</f>
        <v>55</v>
      </c>
    </row>
    <row r="61" spans="1:5">
      <c r="A61" s="1">
        <f>Papers!A60</f>
        <v>56</v>
      </c>
      <c r="C61" s="22"/>
    </row>
    <row r="62" spans="1:5">
      <c r="A62" s="1">
        <f>Papers!A61</f>
        <v>57</v>
      </c>
    </row>
    <row r="63" spans="1:5">
      <c r="A63" s="29">
        <f>Papers!A62</f>
        <v>58</v>
      </c>
    </row>
    <row r="64" spans="1:5">
      <c r="A64" s="29">
        <f>Papers!A63</f>
        <v>59</v>
      </c>
    </row>
    <row r="65" spans="1:4">
      <c r="A65" s="29">
        <f>Papers!A64</f>
        <v>60</v>
      </c>
    </row>
    <row r="66" spans="1:4">
      <c r="A66" s="29">
        <f>Papers!A65</f>
        <v>61</v>
      </c>
    </row>
    <row r="67" spans="1:4">
      <c r="A67" s="36">
        <f>Papers!A66</f>
        <v>62</v>
      </c>
    </row>
    <row r="68" spans="1:4">
      <c r="A68" s="36">
        <f>Papers!A67</f>
        <v>63</v>
      </c>
    </row>
    <row r="69" spans="1:4">
      <c r="A69" s="36">
        <f>Papers!A68</f>
        <v>64</v>
      </c>
    </row>
    <row r="70" spans="1:4">
      <c r="A70" s="36">
        <f>Papers!A69</f>
        <v>65</v>
      </c>
    </row>
    <row r="71" spans="1:4">
      <c r="A71" s="36">
        <f>Papers!A70</f>
        <v>66</v>
      </c>
    </row>
    <row r="72" spans="1:4">
      <c r="A72" s="36">
        <f>Papers!A71</f>
        <v>67</v>
      </c>
    </row>
    <row r="73" spans="1:4">
      <c r="A73" s="36">
        <f>Papers!A72</f>
        <v>68</v>
      </c>
    </row>
    <row r="74" spans="1:4">
      <c r="A74" s="36">
        <f>Papers!A73</f>
        <v>69</v>
      </c>
    </row>
    <row r="75" spans="1:4">
      <c r="A75" s="36">
        <f>Papers!A74</f>
        <v>70</v>
      </c>
      <c r="D75" s="22" t="s">
        <v>27</v>
      </c>
    </row>
    <row r="76" spans="1:4">
      <c r="A76" s="50">
        <f>Papers!A75</f>
        <v>71</v>
      </c>
    </row>
    <row r="77" spans="1:4">
      <c r="A77" s="50">
        <f>Papers!A76</f>
        <v>72</v>
      </c>
    </row>
    <row r="78" spans="1:4">
      <c r="A78" s="50">
        <f>Papers!A77</f>
        <v>73</v>
      </c>
      <c r="D78" s="22" t="s">
        <v>27</v>
      </c>
    </row>
    <row r="79" spans="1:4">
      <c r="A79" s="58">
        <f>Papers!A78</f>
        <v>74</v>
      </c>
    </row>
  </sheetData>
  <mergeCells count="1">
    <mergeCell ref="C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Venues</vt:lpstr>
      <vt:lpstr>Papers</vt:lpstr>
      <vt:lpstr>Negotiation and Pricing Taxonom</vt:lpstr>
      <vt:lpstr>Task Scheduler Taxonomy</vt:lpstr>
      <vt:lpstr>Resource Provisioner Taxonomy</vt:lpstr>
      <vt:lpstr>Monitoring and Fault Tolerance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saeid abrishami</dc:creator>
  <cp:lastModifiedBy>saeid abrishami</cp:lastModifiedBy>
  <dcterms:created xsi:type="dcterms:W3CDTF">2024-03-11T14:44:37Z</dcterms:created>
  <dcterms:modified xsi:type="dcterms:W3CDTF">2025-01-19T15:47:33Z</dcterms:modified>
</cp:coreProperties>
</file>